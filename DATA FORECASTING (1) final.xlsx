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IT\Downloads\"/>
    </mc:Choice>
  </mc:AlternateContent>
  <xr:revisionPtr revIDLastSave="0" documentId="13_ncr:1_{792AA76A-B4C6-415F-8D95-59EA778D8D56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BOX AND WHISKER " sheetId="1" r:id="rId1"/>
    <sheet name="CORRELATION ANALYSIS" sheetId="2" r:id="rId2"/>
    <sheet name="REGRESSION ANALYSIS" sheetId="4" r:id="rId3"/>
    <sheet name="FORECASTING FUTURE DEMAND" sheetId="5" r:id="rId4"/>
    <sheet name="SEASONAL AVERAGES BY MONTH" sheetId="6" r:id="rId5"/>
  </sheets>
  <definedNames>
    <definedName name="_xlchart.v1.0" hidden="1">'BOX AND WHISKER '!$F$1:$F$2</definedName>
    <definedName name="_xlchart.v1.1" hidden="1">'BOX AND WHISKER '!$F$3:$F$354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J4" i="2"/>
  <c r="I4" i="2"/>
  <c r="H4" i="2"/>
  <c r="I2" i="1" l="1"/>
  <c r="H2" i="1"/>
  <c r="J2" i="1" l="1"/>
  <c r="K2" i="1" s="1"/>
  <c r="L2" i="1" l="1"/>
</calcChain>
</file>

<file path=xl/sharedStrings.xml><?xml version="1.0" encoding="utf-8"?>
<sst xmlns="http://schemas.openxmlformats.org/spreadsheetml/2006/main" count="2897" uniqueCount="77">
  <si>
    <t>Year</t>
  </si>
  <si>
    <t>Month</t>
  </si>
  <si>
    <t>SKU</t>
  </si>
  <si>
    <t>Marketing_Spend (INR)</t>
  </si>
  <si>
    <t>Price (INR/unit)</t>
  </si>
  <si>
    <t>Sales (Units)</t>
  </si>
  <si>
    <t>January</t>
  </si>
  <si>
    <t>SKU1000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</si>
  <si>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</si>
  <si>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</si>
  <si>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</si>
  <si>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</si>
  <si>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</si>
  <si>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</si>
  <si>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</si>
  <si>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</si>
  <si>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SKU1009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</si>
  <si>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</si>
  <si>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</si>
  <si>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</si>
  <si>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</si>
  <si>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</si>
  <si>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</si>
  <si>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</si>
  <si>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</si>
  <si>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</si>
  <si>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</si>
  <si>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</si>
  <si>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ABC Retail Pvt Ltd - Sales Forecasting Dataset </t>
  </si>
  <si>
    <t>Q1</t>
  </si>
  <si>
    <t>Q3</t>
  </si>
  <si>
    <t>IQR</t>
  </si>
  <si>
    <t>LIF</t>
  </si>
  <si>
    <t>LOF</t>
  </si>
  <si>
    <t>CORRELATION ANALYSIS</t>
  </si>
  <si>
    <t>Correlation between Marketing Spend and Sales</t>
  </si>
  <si>
    <t>Correlation between Price and Sales</t>
  </si>
  <si>
    <t>REGRESSION ANALYSIS</t>
  </si>
  <si>
    <t>REGRESSION EQUATION(y=a+bx)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</si>
  <si>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</si>
  <si>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</si>
  <si>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</si>
  <si>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</si>
  <si>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</si>
  <si>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</si>
  <si>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</si>
  <si>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</si>
  <si>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</si>
  <si>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</si>
  <si>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</si>
  <si>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</si>
  <si>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</si>
  <si>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</si>
  <si>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</si>
  <si>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</si>
  <si>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</si>
  <si>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</si>
  <si>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</si>
  <si>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</si>
  <si>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</si>
  <si>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</si>
  <si>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</si>
  <si>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</si>
  <si>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 SQUARE ANALYSIS</t>
  </si>
  <si>
    <t>Formula</t>
  </si>
  <si>
    <t>Expected Result</t>
  </si>
  <si>
    <t>R² ≈ 0.97</t>
  </si>
  <si>
    <t>Forecast Next Month</t>
  </si>
  <si>
    <t>(This predicts sales if marketing spend becomes ₹10,000.)</t>
  </si>
  <si>
    <t>Forecast Next Quarter</t>
  </si>
  <si>
    <t>Row Labels</t>
  </si>
  <si>
    <t>Grand Total</t>
  </si>
  <si>
    <t>Average of Sales (Units)</t>
  </si>
  <si>
    <t>REFER TO THE PIVOT TABLE AND LINE CHART IN NEXT SHEET</t>
  </si>
  <si>
    <t>X Variable 1</t>
  </si>
  <si>
    <t>X Variable 2</t>
  </si>
  <si>
    <t>Sales= 52.89+0.049(Marketing Spend)-1.16(Price)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</si>
</sst>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0" tint="-4.9989318521683403E-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right" vertical="top"/>
    </xf>
    <xf numFmtId="0" fontId="4" fillId="2" borderId="4" xfId="0" applyFont="1" applyFill="1" applyBorder="1" applyAlignment="1">
      <alignment horizontal="center" vertical="top"/>
    </xf>
    <xf numFmtId="0" fontId="1" fillId="0" borderId="0" xfId="0" applyFont="1"/>
    <xf numFmtId="0" fontId="5" fillId="2" borderId="0" xfId="0" applyFont="1" applyFill="1" applyAlignment="1">
      <alignment horizontal="center"/>
    </xf>
    <xf numFmtId="0" fontId="7" fillId="0" borderId="0" xfId="0" applyFont="1"/>
    <xf numFmtId="0" fontId="0" fillId="0" borderId="5" xfId="0" applyBorder="1"/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Continuous"/>
    </xf>
    <xf numFmtId="0" fontId="9" fillId="0" borderId="0" xfId="0" applyFont="1" applyAlignment="1">
      <alignment vertical="center"/>
    </xf>
    <xf numFmtId="0" fontId="6" fillId="0" borderId="1" xfId="0" applyFont="1" applyBorder="1" applyAlignment="1">
      <alignment horizontal="centerContinuous"/>
    </xf>
    <xf numFmtId="0" fontId="10" fillId="2" borderId="0" xfId="0" applyFont="1" applyFill="1" applyAlignment="1">
      <alignment horizontal="center"/>
    </xf>
    <xf numFmtId="0" fontId="8" fillId="2" borderId="0" xfId="0" applyFont="1" applyFill="1" applyAlignment="1">
      <alignment vertical="center"/>
    </xf>
    <xf numFmtId="0" fontId="0" fillId="0" borderId="0" xfId="0" pivotButton="1"/>
    <xf numFmtId="0" fontId="0" fillId="0" borderId="0" xfId="0" applyFill="1" applyBorder="1" applyAlignment="1"/>
    <xf numFmtId="0" fontId="0" fillId="0" borderId="5" xfId="0" applyFill="1" applyBorder="1" applyAlignment="1"/>
    <xf numFmtId="0" fontId="6" fillId="0" borderId="6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Continuous"/>
    </xf>
    <xf numFmtId="0" fontId="11" fillId="0" borderId="0" xfId="0" applyFont="1"/>
  </cellXfs>
  <cellStyles count="1">
    <cellStyle name="Normal" xfId="0" builtinId="0"/>
  </cellStyles>
  <dxfs count="16"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FORECASTING (1).xlsx]SEASONAL AVERAGES BY MONTH!PivotTable2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SALES TREND GRAPH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'SEASONAL AVERAGES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902559055118111"/>
                  <c:y val="-5.03218868474773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"/>
            <c:dispRSqr val="0"/>
            <c:dispEq val="0"/>
          </c:trendline>
          <c:cat>
            <c:strRef>
              <c:f>'SEASONAL AVERAGES BY MONTH'!$A$4:$A$16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'SEASONAL AVERAGES BY MONTH'!$B$4:$B$16</c:f>
              <c:numCache>
                <c:formatCode>General</c:formatCode>
                <c:ptCount val="12"/>
                <c:pt idx="0">
                  <c:v>281.79064516129034</c:v>
                </c:pt>
                <c:pt idx="1">
                  <c:v>314.85928571428565</c:v>
                </c:pt>
                <c:pt idx="2">
                  <c:v>318.98612903225808</c:v>
                </c:pt>
                <c:pt idx="3">
                  <c:v>324.78199999999998</c:v>
                </c:pt>
                <c:pt idx="4">
                  <c:v>295.53419354838712</c:v>
                </c:pt>
                <c:pt idx="5">
                  <c:v>282.35566666666665</c:v>
                </c:pt>
                <c:pt idx="6">
                  <c:v>301.21645161290326</c:v>
                </c:pt>
                <c:pt idx="7">
                  <c:v>280.57193548387096</c:v>
                </c:pt>
                <c:pt idx="8">
                  <c:v>313.97233333333327</c:v>
                </c:pt>
                <c:pt idx="9">
                  <c:v>230.03903225806454</c:v>
                </c:pt>
                <c:pt idx="10">
                  <c:v>307.55500000000006</c:v>
                </c:pt>
                <c:pt idx="11">
                  <c:v>282.91419354838712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E-466E-8DDC-811499242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712000"/>
        <c:axId val="1595712960"/>
      </c:lineChart>
      <c:catAx>
        <c:axId val="159571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712960"/>
        <c:crosses val="autoZero"/>
        <c:auto val="1"/>
        <c:lblAlgn val="ctr"/>
        <c:lblOffset val="100"/>
        <c:noMultiLvlLbl val="0"/>
      </c:catAx>
      <c:valAx>
        <c:axId val="15957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71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 AND WHISKER PLOT OF SALES UNIT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</a:rPr>
            <a:t>BOX AND WHISKER PLOT OF SALES UNIT</a:t>
          </a:r>
        </a:p>
      </cx:txPr>
    </cx:title>
    <cx:plotArea>
      <cx:plotAreaRegion>
        <cx:series layoutId="boxWhisker" uniqueId="{B7C84159-402C-4CAC-A5E4-C983051D3750}">
          <cx:tx>
            <cx:txData>
              <cx:f>_xlchart.v1.0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tle>
          <cx:tx>
            <cx:txData>
              <cx:v>Sales Data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/>
                </a:rPr>
                <a:t>Sales Data</a:t>
              </a:r>
            </a:p>
          </cx:txPr>
        </cx:title>
        <cx:tickLabels/>
      </cx:axis>
      <cx:axis id="1">
        <cx:valScaling/>
        <cx:title>
          <cx:tx>
            <cx:txData>
              <cx:v>Sales Units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/>
                </a:rPr>
                <a:t>Sales Units</a:t>
              </a:r>
            </a:p>
          </cx:txPr>
        </cx:title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342899</xdr:colOff>
      <xdr:row>4</xdr:row>
      <xdr:rowOff>168275</xdr:rowOff>
    </xdr:from>
    <xdr:to>
      <xdr:col>12</xdr:col>
      <xdr:colOff>396874</xdr:colOff>
      <xdr:row>19</xdr:row>
      <xdr:rowOff>149225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38FE868-E4D3-74E3-16CC-39639AF3EA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7649" y="974725"/>
              <a:ext cx="38576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101600</xdr:colOff>
      <xdr:row>2</xdr:row>
      <xdr:rowOff>63500</xdr:rowOff>
    </xdr:from>
    <xdr:to>
      <xdr:col>12</xdr:col>
      <xdr:colOff>184150</xdr:colOff>
      <xdr:row>4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A02CBB-C832-469C-9B28-B6312AA25C0F}"/>
            </a:ext>
          </a:extLst>
        </xdr:cNvPr>
        <xdr:cNvSpPr txBox="1"/>
      </xdr:nvSpPr>
      <xdr:spPr>
        <a:xfrm>
          <a:off x="8255000" y="488950"/>
          <a:ext cx="32575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 POTENTIAL OUTLIERS</a:t>
          </a:r>
          <a:r>
            <a:rPr lang="en-IN" sz="1100" baseline="0"/>
            <a:t> WERE FOUND IN THE DATA AFTER APPLYING NUMBER FILTER IN SALES COLUMN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996950</xdr:colOff>
      <xdr:row>13</xdr:row>
      <xdr:rowOff>120650</xdr:rowOff>
    </xdr:from>
    <xdr:to>
      <xdr:col>8</xdr:col>
      <xdr:colOff>1511300</xdr:colOff>
      <xdr:row>18</xdr:row>
      <xdr:rowOff>107950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CD1E43-369B-ABD0-39E4-B03066539744}"/>
            </a:ext>
          </a:extLst>
        </xdr:cNvPr>
        <xdr:cNvSpPr txBox="1"/>
      </xdr:nvSpPr>
      <xdr:spPr>
        <a:xfrm>
          <a:off x="9150350" y="2584450"/>
          <a:ext cx="3409950" cy="908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Interpretation:</a:t>
          </a:r>
        </a:p>
        <a:p>
          <a:r>
            <a:rPr lang="en-IN"/>
            <a:t>+1 → Strong positive relationship</a:t>
          </a:r>
        </a:p>
        <a:p>
          <a:r>
            <a:rPr lang="en-IN"/>
            <a:t>0 → No relationship</a:t>
          </a:r>
        </a:p>
        <a:p>
          <a:r>
            <a:rPr lang="en-IN"/>
            <a:t>−1 → Strong negative relationship</a:t>
          </a:r>
        </a:p>
        <a:p>
          <a:endParaRPr lang="en-IN" sz="1100"/>
        </a:p>
      </xdr:txBody>
    </xdr:sp>
    <xdr:clientData/>
  </xdr:twoCellAnchor>
  <xdr:twoCellAnchor>
    <xdr:from>
      <xdr:col>7</xdr:col>
      <xdr:colOff>412750</xdr:colOff>
      <xdr:row>4</xdr:row>
      <xdr:rowOff>120650</xdr:rowOff>
    </xdr:from>
    <xdr:to>
      <xdr:col>7</xdr:col>
      <xdr:colOff>2470150</xdr:colOff>
      <xdr:row>12</xdr:row>
      <xdr:rowOff>120650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17C2F7-FE69-8AB8-46CF-4E9AC3A39B19}"/>
            </a:ext>
          </a:extLst>
        </xdr:cNvPr>
        <xdr:cNvSpPr txBox="1"/>
      </xdr:nvSpPr>
      <xdr:spPr>
        <a:xfrm>
          <a:off x="8566150" y="927100"/>
          <a:ext cx="2057400" cy="147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OBSERVATION:</a:t>
          </a:r>
        </a:p>
        <a:p>
          <a:r>
            <a:rPr lang="en-IN"/>
            <a:t>The correlation between </a:t>
          </a:r>
          <a:r>
            <a:rPr lang="en-IN" b="1"/>
            <a:t>Marketing Spend and Sales</a:t>
          </a:r>
          <a:r>
            <a:rPr lang="en-IN"/>
            <a:t> is </a:t>
          </a:r>
          <a:r>
            <a:rPr lang="en-IN" b="1"/>
            <a:t>0.9804</a:t>
          </a:r>
          <a:r>
            <a:rPr lang="en-IN"/>
            <a:t>, which indicates a </a:t>
          </a:r>
          <a:r>
            <a:rPr lang="en-IN" b="1"/>
            <a:t>very strong positive relationship</a:t>
          </a:r>
          <a:r>
            <a:rPr lang="en-IN"/>
            <a:t>. This means that as marketing expenditure increases, sales also increase significantly.</a:t>
          </a:r>
          <a:endParaRPr lang="en-IN" sz="1100"/>
        </a:p>
      </xdr:txBody>
    </xdr:sp>
    <xdr:clientData/>
  </xdr:twoCellAnchor>
  <xdr:twoCellAnchor>
    <xdr:from>
      <xdr:col>7</xdr:col>
      <xdr:colOff>2762250</xdr:colOff>
      <xdr:row>4</xdr:row>
      <xdr:rowOff>114300</xdr:rowOff>
    </xdr:from>
    <xdr:to>
      <xdr:col>8</xdr:col>
      <xdr:colOff>2146300</xdr:colOff>
      <xdr:row>12</xdr:row>
      <xdr:rowOff>120650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15D79C-7172-AEFB-BA3D-F4D1DA43B695}"/>
            </a:ext>
          </a:extLst>
        </xdr:cNvPr>
        <xdr:cNvSpPr txBox="1"/>
      </xdr:nvSpPr>
      <xdr:spPr>
        <a:xfrm>
          <a:off x="10915650" y="920750"/>
          <a:ext cx="2279650" cy="147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OBSERVATION:</a:t>
          </a:r>
        </a:p>
        <a:p>
          <a:r>
            <a:rPr lang="en-IN"/>
            <a:t>The correlation between </a:t>
          </a:r>
          <a:r>
            <a:rPr lang="en-IN" b="1"/>
            <a:t>Price and Sales</a:t>
          </a:r>
          <a:r>
            <a:rPr lang="en-IN"/>
            <a:t> is </a:t>
          </a:r>
          <a:r>
            <a:rPr lang="en-IN" b="1"/>
            <a:t>−0.0899</a:t>
          </a:r>
          <a:r>
            <a:rPr lang="en-IN"/>
            <a:t>, which indicates a </a:t>
          </a:r>
          <a:r>
            <a:rPr lang="en-IN" b="1"/>
            <a:t>very weak negative relationship</a:t>
          </a:r>
          <a:r>
            <a:rPr lang="en-IN"/>
            <a:t>. This means that price has very little impact on sales in the given dataset, although sales tend to decrease slightly when price increases.</a:t>
          </a:r>
          <a:endParaRPr lang="en-IN" sz="1100"/>
        </a:p>
      </xdr:txBody>
    </xdr:sp>
    <xdr:clientData/>
  </xdr:twoCellAnchor>
  <xdr:twoCellAnchor>
    <xdr:from>
      <xdr:col>9</xdr:col>
      <xdr:colOff>31750</xdr:colOff>
      <xdr:row>7</xdr:row>
      <xdr:rowOff>50800</xdr:rowOff>
    </xdr:from>
    <xdr:to>
      <xdr:col>10</xdr:col>
      <xdr:colOff>171450</xdr:colOff>
      <xdr:row>14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A704CB5-9605-CB54-8485-CCE128ABA448}"/>
            </a:ext>
          </a:extLst>
        </xdr:cNvPr>
        <xdr:cNvSpPr txBox="1"/>
      </xdr:nvSpPr>
      <xdr:spPr>
        <a:xfrm>
          <a:off x="13252450" y="1422400"/>
          <a:ext cx="1854200" cy="127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Interpretation</a:t>
          </a:r>
        </a:p>
        <a:p>
          <a:r>
            <a:rPr lang="en-IN"/>
            <a:t>97% variation in sales is explained by marketing spend and pricing.</a:t>
          </a:r>
        </a:p>
        <a:p>
          <a:r>
            <a:rPr lang="en-IN"/>
            <a:t>This indicates an excellent forecasting model.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101600</xdr:colOff>
      <xdr:row>4</xdr:row>
      <xdr:rowOff>50800</xdr:rowOff>
    </xdr:from>
    <xdr:to>
      <xdr:col>9</xdr:col>
      <xdr:colOff>361950</xdr:colOff>
      <xdr:row>8</xdr:row>
      <xdr:rowOff>139178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2F8958-AAD4-E448-D206-6DA5FA4D3612}"/>
            </a:ext>
          </a:extLst>
        </xdr:cNvPr>
        <xdr:cNvSpPr txBox="1"/>
      </xdr:nvSpPr>
      <xdr:spPr>
        <a:xfrm>
          <a:off x="11157559" y="859773"/>
          <a:ext cx="2435007" cy="819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INTERPRETATION: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Increase in marketing spend increases sales.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Increase in price reduces sales</a:t>
          </a:r>
          <a:endParaRPr lang="en-IN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2</xdr:row>
      <xdr:rowOff>28575</xdr:rowOff>
    </xdr:from>
    <xdr:to>
      <xdr:col>10</xdr:col>
      <xdr:colOff>215900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52778-B0BB-E942-D775-5D138E136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</xdr:colOff>
      <xdr:row>18</xdr:row>
      <xdr:rowOff>12700</xdr:rowOff>
    </xdr:from>
    <xdr:to>
      <xdr:col>2</xdr:col>
      <xdr:colOff>565150</xdr:colOff>
      <xdr:row>20</xdr:row>
      <xdr:rowOff>82550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8F29DE-31A5-96B2-CC3D-072700BEFF49}"/>
            </a:ext>
          </a:extLst>
        </xdr:cNvPr>
        <xdr:cNvSpPr txBox="1"/>
      </xdr:nvSpPr>
      <xdr:spPr>
        <a:xfrm>
          <a:off x="82550" y="3327400"/>
          <a:ext cx="278765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"Historical monthly averages (not a forward projection) used to observe seasonality"</a:t>
          </a:r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T" refreshedDate="46148.628098148147" createdVersion="8" refreshedVersion="8" minRefreshableVersion="3" recordCount="351" xr:uid="{948B876F-1C17-4022-9953-C326C6857327}">
  <cacheSource type="worksheet">
    <worksheetSource name="Table1345"/>
  </cacheSource>
  <cacheFields count="6">
    <cacheField name="Year" numFmtId="0">
      <sharedItems containsSemiMixedTypes="0" containsString="0" containsNumber="1" containsInteger="1" minValue="2022" maxValue="2022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SKU" numFmtId="0">
      <sharedItems/>
    </cacheField>
    <cacheField name="Marketing_Spend (INR)" numFmtId="0">
      <sharedItems containsSemiMixedTypes="0" containsString="0" containsNumber="1" containsInteger="1" minValue="1004" maxValue="9996"/>
    </cacheField>
    <cacheField name="Price (INR/unit)" numFmtId="0">
      <sharedItems containsSemiMixedTypes="0" containsString="0" containsNumber="1" minValue="10.1" maxValue="49.84"/>
    </cacheField>
    <cacheField name="Sales (Units)" numFmtId="0">
      <sharedItems containsSemiMixedTypes="0" containsString="0" containsNumber="1" minValue="2.19" maxValue="566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2022"/>
    <x v="0"/>
    <s v="SKU1000"/>
    <n v="8270"/>
    <n v="37.979999999999997"/>
    <n v="447.51"/>
  </r>
  <r>
    <n v="2022"/>
    <x v="0"/>
    <s v="SKU1001"/>
    <n v="1860"/>
    <n v="15.53"/>
    <n v="164.08"/>
  </r>
  <r>
    <n v="2022"/>
    <x v="0"/>
    <s v="SKU1002"/>
    <n v="6390"/>
    <n v="15.31"/>
    <n v="320.67"/>
  </r>
  <r>
    <n v="2022"/>
    <x v="0"/>
    <s v="SKU1003"/>
    <n v="6191"/>
    <n v="48.78"/>
    <n v="278.29000000000002"/>
  </r>
  <r>
    <n v="2022"/>
    <x v="0"/>
    <s v="SKU1004"/>
    <n v="6734"/>
    <n v="38.58"/>
    <n v="344.92"/>
  </r>
  <r>
    <n v="2022"/>
    <x v="0"/>
    <s v="SKU1005"/>
    <n v="7265"/>
    <n v="11.64"/>
    <n v="416.07"/>
  </r>
  <r>
    <n v="2022"/>
    <x v="0"/>
    <s v="SKU1006"/>
    <n v="1466"/>
    <n v="25.95"/>
    <n v="91.93"/>
  </r>
  <r>
    <n v="2022"/>
    <x v="0"/>
    <s v="SKU1007"/>
    <n v="5426"/>
    <n v="27.34"/>
    <n v="255.73"/>
  </r>
  <r>
    <n v="2022"/>
    <x v="0"/>
    <s v="SKU1008"/>
    <n v="6578"/>
    <n v="39.76"/>
    <n v="341.12"/>
  </r>
  <r>
    <n v="2022"/>
    <x v="0"/>
    <s v="SKU1009"/>
    <n v="9322"/>
    <n v="20.03"/>
    <n v="488.17"/>
  </r>
  <r>
    <n v="2022"/>
    <x v="0"/>
    <s v="SKU1000"/>
    <n v="2685"/>
    <n v="17.37"/>
    <n v="159.28"/>
  </r>
  <r>
    <n v="2022"/>
    <x v="0"/>
    <s v="SKU1001"/>
    <n v="1769"/>
    <n v="13.23"/>
    <n v="77.010000000000005"/>
  </r>
  <r>
    <n v="2022"/>
    <x v="0"/>
    <s v="SKU1002"/>
    <n v="7949"/>
    <n v="27.13"/>
    <n v="430.84"/>
  </r>
  <r>
    <n v="2022"/>
    <x v="0"/>
    <s v="SKU1003"/>
    <n v="3433"/>
    <n v="37.54"/>
    <n v="179.51"/>
  </r>
  <r>
    <n v="2022"/>
    <x v="0"/>
    <s v="SKU1004"/>
    <n v="6311"/>
    <n v="12.33"/>
    <n v="386.66"/>
  </r>
  <r>
    <n v="2022"/>
    <x v="0"/>
    <s v="SKU1005"/>
    <n v="6051"/>
    <n v="46.61"/>
    <n v="295.13"/>
  </r>
  <r>
    <n v="2022"/>
    <x v="0"/>
    <s v="SKU1006"/>
    <n v="7420"/>
    <n v="27.69"/>
    <n v="399.09"/>
  </r>
  <r>
    <n v="2022"/>
    <x v="0"/>
    <s v="SKU1007"/>
    <n v="2184"/>
    <n v="19.59"/>
    <n v="152.33000000000001"/>
  </r>
  <r>
    <n v="2022"/>
    <x v="0"/>
    <s v="SKU1008"/>
    <n v="5555"/>
    <n v="13.75"/>
    <n v="276.32"/>
  </r>
  <r>
    <n v="2022"/>
    <x v="0"/>
    <s v="SKU1009"/>
    <n v="4385"/>
    <n v="17.309999999999999"/>
    <n v="300.81"/>
  </r>
  <r>
    <n v="2022"/>
    <x v="0"/>
    <s v="SKU1000"/>
    <n v="7396"/>
    <n v="47.38"/>
    <n v="354.32"/>
  </r>
  <r>
    <n v="2022"/>
    <x v="0"/>
    <s v="SKU1001"/>
    <n v="9666"/>
    <n v="35.53"/>
    <n v="500.55"/>
  </r>
  <r>
    <n v="2022"/>
    <x v="0"/>
    <s v="SKU1002"/>
    <n v="3558"/>
    <n v="30.67"/>
    <n v="203.91"/>
  </r>
  <r>
    <n v="2022"/>
    <x v="0"/>
    <s v="SKU1003"/>
    <n v="8849"/>
    <n v="36.28"/>
    <n v="432.61"/>
  </r>
  <r>
    <n v="2022"/>
    <x v="0"/>
    <s v="SKU1004"/>
    <n v="3047"/>
    <n v="27.43"/>
    <n v="206.38"/>
  </r>
  <r>
    <n v="2022"/>
    <x v="0"/>
    <s v="SKU1005"/>
    <n v="3747"/>
    <n v="39.200000000000003"/>
    <n v="195.63"/>
  </r>
  <r>
    <n v="2022"/>
    <x v="0"/>
    <s v="SKU1006"/>
    <n v="1189"/>
    <n v="11.91"/>
    <n v="90.89"/>
  </r>
  <r>
    <n v="2022"/>
    <x v="0"/>
    <s v="SKU1007"/>
    <n v="3734"/>
    <n v="32.64"/>
    <n v="200.3"/>
  </r>
  <r>
    <n v="2022"/>
    <x v="0"/>
    <s v="SKU1008"/>
    <n v="4005"/>
    <n v="16.350000000000001"/>
    <n v="245.92"/>
  </r>
  <r>
    <n v="2022"/>
    <x v="0"/>
    <s v="SKU1009"/>
    <n v="5658"/>
    <n v="14.81"/>
    <n v="315.35000000000002"/>
  </r>
  <r>
    <n v="2022"/>
    <x v="0"/>
    <s v="SKU1000"/>
    <n v="2899"/>
    <n v="23.68"/>
    <n v="184.18"/>
  </r>
  <r>
    <n v="2022"/>
    <x v="1"/>
    <s v="SKU1001"/>
    <n v="8734"/>
    <n v="13.67"/>
    <n v="436.6"/>
  </r>
  <r>
    <n v="2022"/>
    <x v="1"/>
    <s v="SKU1002"/>
    <n v="2267"/>
    <n v="13.77"/>
    <n v="131.87"/>
  </r>
  <r>
    <n v="2022"/>
    <x v="1"/>
    <s v="SKU1003"/>
    <n v="2528"/>
    <n v="22.46"/>
    <n v="106.68"/>
  </r>
  <r>
    <n v="2022"/>
    <x v="1"/>
    <s v="SKU1004"/>
    <n v="4556"/>
    <n v="49.18"/>
    <n v="258.72000000000003"/>
  </r>
  <r>
    <n v="2022"/>
    <x v="1"/>
    <s v="SKU1005"/>
    <n v="4890"/>
    <n v="17.010000000000002"/>
    <n v="313.76"/>
  </r>
  <r>
    <n v="2022"/>
    <x v="1"/>
    <s v="SKU1006"/>
    <n v="9838"/>
    <n v="10.69"/>
    <n v="541.61"/>
  </r>
  <r>
    <n v="2022"/>
    <x v="1"/>
    <s v="SKU1007"/>
    <n v="6393"/>
    <n v="40.53"/>
    <n v="300.76"/>
  </r>
  <r>
    <n v="2022"/>
    <x v="1"/>
    <s v="SKU1008"/>
    <n v="9792"/>
    <n v="42.28"/>
    <n v="536.66999999999996"/>
  </r>
  <r>
    <n v="2022"/>
    <x v="1"/>
    <s v="SKU1009"/>
    <n v="9433"/>
    <n v="23.85"/>
    <n v="480.94"/>
  </r>
  <r>
    <n v="2022"/>
    <x v="1"/>
    <s v="SKU1000"/>
    <n v="8513"/>
    <n v="28.59"/>
    <n v="437.08"/>
  </r>
  <r>
    <n v="2022"/>
    <x v="1"/>
    <s v="SKU1001"/>
    <n v="3612"/>
    <n v="35.99"/>
    <n v="190.6"/>
  </r>
  <r>
    <n v="2022"/>
    <x v="1"/>
    <s v="SKU1002"/>
    <n v="8041"/>
    <n v="11.92"/>
    <n v="446.77"/>
  </r>
  <r>
    <n v="2022"/>
    <x v="1"/>
    <s v="SKU1003"/>
    <n v="7235"/>
    <n v="47.97"/>
    <n v="367.07"/>
  </r>
  <r>
    <n v="2022"/>
    <x v="1"/>
    <s v="SKU1004"/>
    <n v="6486"/>
    <n v="45.47"/>
    <n v="333.42"/>
  </r>
  <r>
    <n v="2022"/>
    <x v="1"/>
    <s v="SKU1005"/>
    <n v="8099"/>
    <n v="20.440000000000001"/>
    <n v="427.54"/>
  </r>
  <r>
    <n v="2022"/>
    <x v="1"/>
    <s v="SKU1006"/>
    <n v="1775"/>
    <n v="10.61"/>
    <n v="139.38"/>
  </r>
  <r>
    <n v="2022"/>
    <x v="1"/>
    <s v="SKU1007"/>
    <n v="9226"/>
    <n v="47.34"/>
    <n v="450.71"/>
  </r>
  <r>
    <n v="2022"/>
    <x v="1"/>
    <s v="SKU1008"/>
    <n v="4152"/>
    <n v="30.04"/>
    <n v="233.14"/>
  </r>
  <r>
    <n v="2022"/>
    <x v="1"/>
    <s v="SKU1009"/>
    <n v="2585"/>
    <n v="31.58"/>
    <n v="151.31"/>
  </r>
  <r>
    <n v="2022"/>
    <x v="1"/>
    <s v="SKU1000"/>
    <n v="4943"/>
    <n v="37.36"/>
    <n v="267.58"/>
  </r>
  <r>
    <n v="2022"/>
    <x v="1"/>
    <s v="SKU1001"/>
    <n v="8555"/>
    <n v="34.630000000000003"/>
    <n v="448.95"/>
  </r>
  <r>
    <n v="2022"/>
    <x v="1"/>
    <s v="SKU1002"/>
    <n v="4073"/>
    <n v="47.76"/>
    <n v="187.49"/>
  </r>
  <r>
    <n v="2022"/>
    <x v="1"/>
    <s v="SKU1003"/>
    <n v="2021"/>
    <n v="47.77"/>
    <n v="102.9"/>
  </r>
  <r>
    <n v="2022"/>
    <x v="1"/>
    <s v="SKU1004"/>
    <n v="4843"/>
    <n v="44.69"/>
    <n v="251.59"/>
  </r>
  <r>
    <n v="2022"/>
    <x v="1"/>
    <s v="SKU1005"/>
    <n v="8989"/>
    <n v="35.46"/>
    <n v="431.08"/>
  </r>
  <r>
    <n v="2022"/>
    <x v="1"/>
    <s v="SKU1006"/>
    <n v="7873"/>
    <n v="42.04"/>
    <n v="387.72"/>
  </r>
  <r>
    <n v="2022"/>
    <x v="1"/>
    <s v="SKU1007"/>
    <n v="6675"/>
    <n v="37.090000000000003"/>
    <n v="351.41"/>
  </r>
  <r>
    <n v="2022"/>
    <x v="1"/>
    <s v="SKU1008"/>
    <n v="1161"/>
    <n v="32.93"/>
    <n v="102.71"/>
  </r>
  <r>
    <n v="2022"/>
    <x v="2"/>
    <s v="SKU1009"/>
    <n v="5297"/>
    <n v="15.14"/>
    <n v="313.18"/>
  </r>
  <r>
    <n v="2022"/>
    <x v="2"/>
    <s v="SKU1000"/>
    <n v="1995"/>
    <n v="42.45"/>
    <n v="134.26"/>
  </r>
  <r>
    <n v="2022"/>
    <x v="2"/>
    <s v="SKU1001"/>
    <n v="8629"/>
    <n v="42.83"/>
    <n v="422.09"/>
  </r>
  <r>
    <n v="2022"/>
    <x v="2"/>
    <s v="SKU1002"/>
    <n v="2016"/>
    <n v="35.04"/>
    <n v="113.76"/>
  </r>
  <r>
    <n v="2022"/>
    <x v="2"/>
    <s v="SKU1003"/>
    <n v="8869"/>
    <n v="42.82"/>
    <n v="458.18"/>
  </r>
  <r>
    <n v="2022"/>
    <x v="2"/>
    <s v="SKU1004"/>
    <n v="7439"/>
    <n v="36.06"/>
    <n v="332.15"/>
  </r>
  <r>
    <n v="2022"/>
    <x v="2"/>
    <s v="SKU1005"/>
    <n v="8892"/>
    <n v="18.27"/>
    <n v="502.9"/>
  </r>
  <r>
    <n v="2022"/>
    <x v="2"/>
    <s v="SKU1006"/>
    <n v="7863"/>
    <n v="20.96"/>
    <n v="380.78"/>
  </r>
  <r>
    <n v="2022"/>
    <x v="2"/>
    <s v="SKU1007"/>
    <n v="8916"/>
    <n v="18.579999999999998"/>
    <n v="493.44"/>
  </r>
  <r>
    <n v="2022"/>
    <x v="2"/>
    <s v="SKU1008"/>
    <n v="9529"/>
    <n v="25.09"/>
    <n v="510.08"/>
  </r>
  <r>
    <n v="2022"/>
    <x v="2"/>
    <s v="SKU1009"/>
    <n v="1878"/>
    <n v="11.56"/>
    <n v="83.24"/>
  </r>
  <r>
    <n v="2022"/>
    <x v="2"/>
    <s v="SKU1000"/>
    <n v="5887"/>
    <n v="34.729999999999997"/>
    <n v="256.89"/>
  </r>
  <r>
    <n v="2022"/>
    <x v="2"/>
    <s v="SKU1001"/>
    <n v="5859"/>
    <n v="23.46"/>
    <n v="343.45"/>
  </r>
  <r>
    <n v="2022"/>
    <x v="2"/>
    <s v="SKU1002"/>
    <n v="7331"/>
    <n v="36.229999999999997"/>
    <n v="397.37"/>
  </r>
  <r>
    <n v="2022"/>
    <x v="2"/>
    <s v="SKU1003"/>
    <n v="9571"/>
    <n v="25.42"/>
    <n v="480.43"/>
  </r>
  <r>
    <n v="2022"/>
    <x v="2"/>
    <s v="SKU1004"/>
    <n v="9684"/>
    <n v="37.26"/>
    <n v="471.84"/>
  </r>
  <r>
    <n v="2022"/>
    <x v="2"/>
    <s v="SKU1005"/>
    <n v="8208"/>
    <n v="23.62"/>
    <n v="442.3"/>
  </r>
  <r>
    <n v="2022"/>
    <x v="2"/>
    <s v="SKU1006"/>
    <n v="6276"/>
    <n v="20.43"/>
    <n v="339.03"/>
  </r>
  <r>
    <n v="2022"/>
    <x v="2"/>
    <s v="SKU1007"/>
    <n v="3062"/>
    <n v="29.84"/>
    <n v="188.38"/>
  </r>
  <r>
    <n v="2022"/>
    <x v="2"/>
    <s v="SKU1008"/>
    <n v="1064"/>
    <n v="37.72"/>
    <n v="67.53"/>
  </r>
  <r>
    <n v="2022"/>
    <x v="2"/>
    <s v="SKU1009"/>
    <n v="9006"/>
    <n v="23.93"/>
    <n v="503.24"/>
  </r>
  <r>
    <n v="2022"/>
    <x v="2"/>
    <s v="SKU1000"/>
    <n v="3568"/>
    <n v="47.47"/>
    <n v="190.84"/>
  </r>
  <r>
    <n v="2022"/>
    <x v="2"/>
    <s v="SKU1001"/>
    <n v="6463"/>
    <n v="11.57"/>
    <n v="373.68"/>
  </r>
  <r>
    <n v="2022"/>
    <x v="2"/>
    <s v="SKU1002"/>
    <n v="3027"/>
    <n v="26.72"/>
    <n v="162.25"/>
  </r>
  <r>
    <n v="2022"/>
    <x v="2"/>
    <s v="SKU1003"/>
    <n v="3695"/>
    <n v="48.7"/>
    <n v="167.8"/>
  </r>
  <r>
    <n v="2022"/>
    <x v="2"/>
    <s v="SKU1004"/>
    <n v="6258"/>
    <n v="31.92"/>
    <n v="323.56"/>
  </r>
  <r>
    <n v="2022"/>
    <x v="2"/>
    <s v="SKU1005"/>
    <n v="6618"/>
    <n v="26.94"/>
    <n v="385.39"/>
  </r>
  <r>
    <n v="2022"/>
    <x v="2"/>
    <s v="SKU1006"/>
    <n v="7736"/>
    <n v="32.74"/>
    <n v="389.39"/>
  </r>
  <r>
    <n v="2022"/>
    <x v="2"/>
    <s v="SKU1007"/>
    <n v="1391"/>
    <n v="33.04"/>
    <n v="85.12"/>
  </r>
  <r>
    <n v="2022"/>
    <x v="2"/>
    <s v="SKU1008"/>
    <n v="6892"/>
    <n v="39.270000000000003"/>
    <n v="302.58"/>
  </r>
  <r>
    <n v="2022"/>
    <x v="2"/>
    <s v="SKU1009"/>
    <n v="4561"/>
    <n v="15.11"/>
    <n v="273.44"/>
  </r>
  <r>
    <n v="2022"/>
    <x v="3"/>
    <s v="SKU1000"/>
    <n v="7184"/>
    <n v="20"/>
    <n v="430.34"/>
  </r>
  <r>
    <n v="2022"/>
    <x v="3"/>
    <s v="SKU1001"/>
    <n v="4099"/>
    <n v="33.22"/>
    <n v="196.41"/>
  </r>
  <r>
    <n v="2022"/>
    <x v="3"/>
    <s v="SKU1002"/>
    <n v="7278"/>
    <n v="44.68"/>
    <n v="423.77"/>
  </r>
  <r>
    <n v="2022"/>
    <x v="3"/>
    <s v="SKU1003"/>
    <n v="9392"/>
    <n v="32.47"/>
    <n v="484.28"/>
  </r>
  <r>
    <n v="2022"/>
    <x v="3"/>
    <s v="SKU1004"/>
    <n v="4104"/>
    <n v="19.54"/>
    <n v="180.29"/>
  </r>
  <r>
    <n v="2022"/>
    <x v="3"/>
    <s v="SKU1005"/>
    <n v="8215"/>
    <n v="37.19"/>
    <n v="408.41"/>
  </r>
  <r>
    <n v="2022"/>
    <x v="3"/>
    <s v="SKU1006"/>
    <n v="3454"/>
    <n v="39.6"/>
    <n v="201.79"/>
  </r>
  <r>
    <n v="2022"/>
    <x v="3"/>
    <s v="SKU1007"/>
    <n v="9996"/>
    <n v="19.53"/>
    <n v="566.35"/>
  </r>
  <r>
    <n v="2022"/>
    <x v="3"/>
    <s v="SKU1008"/>
    <n v="3731"/>
    <n v="25.11"/>
    <n v="220.78"/>
  </r>
  <r>
    <n v="2022"/>
    <x v="3"/>
    <s v="SKU1009"/>
    <n v="9154"/>
    <n v="31.37"/>
    <n v="501.4"/>
  </r>
  <r>
    <n v="2022"/>
    <x v="3"/>
    <s v="SKU1000"/>
    <n v="6056"/>
    <n v="29.86"/>
    <n v="293.41000000000003"/>
  </r>
  <r>
    <n v="2022"/>
    <x v="3"/>
    <s v="SKU1001"/>
    <n v="9110"/>
    <n v="25.58"/>
    <n v="461.19"/>
  </r>
  <r>
    <n v="2022"/>
    <x v="3"/>
    <s v="SKU1002"/>
    <n v="4840"/>
    <n v="21.91"/>
    <n v="232.12"/>
  </r>
  <r>
    <n v="2022"/>
    <x v="3"/>
    <s v="SKU1003"/>
    <n v="2028"/>
    <n v="14"/>
    <n v="122.5"/>
  </r>
  <r>
    <n v="2022"/>
    <x v="3"/>
    <s v="SKU1004"/>
    <n v="8385"/>
    <n v="12.14"/>
    <n v="469.92"/>
  </r>
  <r>
    <n v="2022"/>
    <x v="3"/>
    <s v="SKU1005"/>
    <n v="1502"/>
    <n v="48.34"/>
    <n v="71.34"/>
  </r>
  <r>
    <n v="2022"/>
    <x v="3"/>
    <s v="SKU1006"/>
    <n v="7910"/>
    <n v="43.89"/>
    <n v="410.19"/>
  </r>
  <r>
    <n v="2022"/>
    <x v="3"/>
    <s v="SKU1007"/>
    <n v="7938"/>
    <n v="24.2"/>
    <n v="399.13"/>
  </r>
  <r>
    <n v="2022"/>
    <x v="3"/>
    <s v="SKU1008"/>
    <n v="5488"/>
    <n v="48.27"/>
    <n v="248.96"/>
  </r>
  <r>
    <n v="2022"/>
    <x v="3"/>
    <s v="SKU1009"/>
    <n v="1206"/>
    <n v="37.07"/>
    <n v="69.91"/>
  </r>
  <r>
    <n v="2022"/>
    <x v="3"/>
    <s v="SKU1000"/>
    <n v="6134"/>
    <n v="29.3"/>
    <n v="309.49"/>
  </r>
  <r>
    <n v="2022"/>
    <x v="3"/>
    <s v="SKU1001"/>
    <n v="6977"/>
    <n v="29.72"/>
    <n v="389.22"/>
  </r>
  <r>
    <n v="2022"/>
    <x v="3"/>
    <s v="SKU1002"/>
    <n v="8721"/>
    <n v="13.33"/>
    <n v="457.5"/>
  </r>
  <r>
    <n v="2022"/>
    <x v="3"/>
    <s v="SKU1003"/>
    <n v="8035"/>
    <n v="13.67"/>
    <n v="425.44"/>
  </r>
  <r>
    <n v="2022"/>
    <x v="3"/>
    <s v="SKU1004"/>
    <n v="2484"/>
    <n v="34.1"/>
    <n v="141.66"/>
  </r>
  <r>
    <n v="2022"/>
    <x v="3"/>
    <s v="SKU1005"/>
    <n v="8858"/>
    <n v="32.15"/>
    <n v="446.54"/>
  </r>
  <r>
    <n v="2022"/>
    <x v="3"/>
    <s v="SKU1006"/>
    <n v="1863"/>
    <n v="18.510000000000002"/>
    <n v="96.24"/>
  </r>
  <r>
    <n v="2022"/>
    <x v="3"/>
    <s v="SKU1007"/>
    <n v="3790"/>
    <n v="47.85"/>
    <n v="160.1"/>
  </r>
  <r>
    <n v="2022"/>
    <x v="3"/>
    <s v="SKU1008"/>
    <n v="8408"/>
    <n v="41.25"/>
    <n v="431.65"/>
  </r>
  <r>
    <n v="2022"/>
    <x v="3"/>
    <s v="SKU1009"/>
    <n v="9755"/>
    <n v="14.54"/>
    <n v="493.13"/>
  </r>
  <r>
    <n v="2022"/>
    <x v="4"/>
    <s v="SKU1000"/>
    <n v="6116"/>
    <n v="47.24"/>
    <n v="327.06"/>
  </r>
  <r>
    <n v="2022"/>
    <x v="4"/>
    <s v="SKU1001"/>
    <n v="7019"/>
    <n v="48.97"/>
    <n v="328.38"/>
  </r>
  <r>
    <n v="2022"/>
    <x v="4"/>
    <s v="SKU1002"/>
    <n v="2757"/>
    <n v="49.84"/>
    <n v="140.37"/>
  </r>
  <r>
    <n v="2022"/>
    <x v="4"/>
    <s v="SKU1003"/>
    <n v="8574"/>
    <n v="12.23"/>
    <n v="451.41"/>
  </r>
  <r>
    <n v="2022"/>
    <x v="4"/>
    <s v="SKU1004"/>
    <n v="7374"/>
    <n v="39.479999999999997"/>
    <n v="353.02"/>
  </r>
  <r>
    <n v="2022"/>
    <x v="4"/>
    <s v="SKU1005"/>
    <n v="7892"/>
    <n v="31.84"/>
    <n v="411.32"/>
  </r>
  <r>
    <n v="2022"/>
    <x v="4"/>
    <s v="SKU1006"/>
    <n v="2678"/>
    <n v="38.229999999999997"/>
    <n v="159.06"/>
  </r>
  <r>
    <n v="2022"/>
    <x v="4"/>
    <s v="SKU1007"/>
    <n v="4242"/>
    <n v="48.75"/>
    <n v="198.66"/>
  </r>
  <r>
    <n v="2022"/>
    <x v="4"/>
    <s v="SKU1008"/>
    <n v="5636"/>
    <n v="37.520000000000003"/>
    <n v="285.47000000000003"/>
  </r>
  <r>
    <n v="2022"/>
    <x v="4"/>
    <s v="SKU1009"/>
    <n v="2059"/>
    <n v="43.48"/>
    <n v="116.92"/>
  </r>
  <r>
    <n v="2022"/>
    <x v="4"/>
    <s v="SKU1000"/>
    <n v="7668"/>
    <n v="44.67"/>
    <n v="396.6"/>
  </r>
  <r>
    <n v="2022"/>
    <x v="4"/>
    <s v="SKU1001"/>
    <n v="4157"/>
    <n v="43.54"/>
    <n v="204.83"/>
  </r>
  <r>
    <n v="2022"/>
    <x v="4"/>
    <s v="SKU1002"/>
    <n v="6915"/>
    <n v="27.04"/>
    <n v="354.43"/>
  </r>
  <r>
    <n v="2022"/>
    <x v="4"/>
    <s v="SKU1003"/>
    <n v="3693"/>
    <n v="18.899999999999999"/>
    <n v="213.62"/>
  </r>
  <r>
    <n v="2022"/>
    <x v="4"/>
    <s v="SKU1004"/>
    <n v="4627"/>
    <n v="25.87"/>
    <n v="246.49"/>
  </r>
  <r>
    <n v="2022"/>
    <x v="4"/>
    <s v="SKU1005"/>
    <n v="6450"/>
    <n v="45.68"/>
    <n v="323.95"/>
  </r>
  <r>
    <n v="2022"/>
    <x v="4"/>
    <s v="SKU1006"/>
    <n v="2663"/>
    <n v="15.86"/>
    <n v="140.22999999999999"/>
  </r>
  <r>
    <n v="2022"/>
    <x v="4"/>
    <s v="SKU1007"/>
    <n v="6592"/>
    <n v="30.53"/>
    <n v="348.5"/>
  </r>
  <r>
    <n v="2022"/>
    <x v="4"/>
    <s v="SKU1008"/>
    <n v="8392"/>
    <n v="19.329999999999998"/>
    <n v="432.04"/>
  </r>
  <r>
    <n v="2022"/>
    <x v="4"/>
    <s v="SKU1009"/>
    <n v="2306"/>
    <n v="33.25"/>
    <n v="143.52000000000001"/>
  </r>
  <r>
    <n v="2022"/>
    <x v="4"/>
    <s v="SKU1000"/>
    <n v="7776"/>
    <n v="44.53"/>
    <n v="371.92"/>
  </r>
  <r>
    <n v="2022"/>
    <x v="4"/>
    <s v="SKU1001"/>
    <n v="6864"/>
    <n v="45.21"/>
    <n v="325.83999999999997"/>
  </r>
  <r>
    <n v="2022"/>
    <x v="4"/>
    <s v="SKU1002"/>
    <n v="8526"/>
    <n v="19.47"/>
    <n v="461.85"/>
  </r>
  <r>
    <n v="2022"/>
    <x v="4"/>
    <s v="SKU1003"/>
    <n v="9901"/>
    <n v="46.31"/>
    <n v="489.76"/>
  </r>
  <r>
    <n v="2022"/>
    <x v="4"/>
    <s v="SKU1004"/>
    <n v="6575"/>
    <n v="33.68"/>
    <n v="383.87"/>
  </r>
  <r>
    <n v="2022"/>
    <x v="4"/>
    <s v="SKU1005"/>
    <n v="6530"/>
    <n v="24.01"/>
    <n v="315.10000000000002"/>
  </r>
  <r>
    <n v="2022"/>
    <x v="4"/>
    <s v="SKU1006"/>
    <n v="5413"/>
    <n v="38.33"/>
    <n v="276.85000000000002"/>
  </r>
  <r>
    <n v="2022"/>
    <x v="4"/>
    <s v="SKU1007"/>
    <n v="4748"/>
    <n v="29.27"/>
    <n v="274.87"/>
  </r>
  <r>
    <n v="2022"/>
    <x v="4"/>
    <s v="SKU1008"/>
    <n v="1663"/>
    <n v="25.12"/>
    <n v="91.44"/>
  </r>
  <r>
    <n v="2022"/>
    <x v="4"/>
    <s v="SKU1009"/>
    <n v="2998"/>
    <n v="38.200000000000003"/>
    <n v="135.84"/>
  </r>
  <r>
    <n v="2022"/>
    <x v="4"/>
    <s v="SKU1000"/>
    <n v="8994"/>
    <n v="19.95"/>
    <n v="458.34"/>
  </r>
  <r>
    <n v="2022"/>
    <x v="5"/>
    <s v="SKU1001"/>
    <n v="2495"/>
    <n v="23.21"/>
    <n v="114.66"/>
  </r>
  <r>
    <n v="2022"/>
    <x v="5"/>
    <s v="SKU1002"/>
    <n v="4304"/>
    <n v="27.38"/>
    <n v="259.33999999999997"/>
  </r>
  <r>
    <n v="2022"/>
    <x v="5"/>
    <s v="SKU1003"/>
    <n v="4763"/>
    <n v="20.149999999999999"/>
    <n v="257.38"/>
  </r>
  <r>
    <n v="2022"/>
    <x v="5"/>
    <s v="SKU1004"/>
    <n v="6232"/>
    <n v="26.21"/>
    <n v="321.19"/>
  </r>
  <r>
    <n v="2022"/>
    <x v="5"/>
    <s v="SKU1005"/>
    <n v="2853"/>
    <n v="32.86"/>
    <n v="110.74"/>
  </r>
  <r>
    <n v="2022"/>
    <x v="5"/>
    <s v="SKU1006"/>
    <n v="7585"/>
    <n v="39.64"/>
    <n v="353.01"/>
  </r>
  <r>
    <n v="2022"/>
    <x v="5"/>
    <s v="SKU1007"/>
    <n v="2291"/>
    <n v="40.69"/>
    <n v="145.03"/>
  </r>
  <r>
    <n v="2022"/>
    <x v="5"/>
    <s v="SKU1008"/>
    <n v="4581"/>
    <n v="42.91"/>
    <n v="233.62"/>
  </r>
  <r>
    <n v="2022"/>
    <x v="5"/>
    <s v="SKU1009"/>
    <n v="8554"/>
    <n v="39.770000000000003"/>
    <n v="453.31"/>
  </r>
  <r>
    <n v="2022"/>
    <x v="5"/>
    <s v="SKU1000"/>
    <n v="8280"/>
    <n v="37.24"/>
    <n v="440.11"/>
  </r>
  <r>
    <n v="2022"/>
    <x v="5"/>
    <s v="SKU1001"/>
    <n v="2636"/>
    <n v="19.5"/>
    <n v="138.38999999999999"/>
  </r>
  <r>
    <n v="2022"/>
    <x v="5"/>
    <s v="SKU1002"/>
    <n v="4696"/>
    <n v="26.01"/>
    <n v="302.19"/>
  </r>
  <r>
    <n v="2022"/>
    <x v="5"/>
    <s v="SKU1003"/>
    <n v="1698"/>
    <n v="29.11"/>
    <n v="138.96"/>
  </r>
  <r>
    <n v="2022"/>
    <x v="5"/>
    <s v="SKU1004"/>
    <n v="5737"/>
    <n v="13.32"/>
    <n v="309.60000000000002"/>
  </r>
  <r>
    <n v="2022"/>
    <x v="5"/>
    <s v="SKU1005"/>
    <n v="1854"/>
    <n v="31.13"/>
    <n v="33.97"/>
  </r>
  <r>
    <n v="2022"/>
    <x v="5"/>
    <s v="SKU1006"/>
    <n v="9164"/>
    <n v="27.45"/>
    <n v="468.13"/>
  </r>
  <r>
    <n v="2022"/>
    <x v="5"/>
    <s v="SKU1007"/>
    <n v="6855"/>
    <n v="42.08"/>
    <n v="347.01"/>
  </r>
  <r>
    <n v="2022"/>
    <x v="5"/>
    <s v="SKU1008"/>
    <n v="8392"/>
    <n v="49.12"/>
    <n v="399.31"/>
  </r>
  <r>
    <n v="2022"/>
    <x v="5"/>
    <s v="SKU1009"/>
    <n v="7528"/>
    <n v="32.24"/>
    <n v="383.28"/>
  </r>
  <r>
    <n v="2022"/>
    <x v="5"/>
    <s v="SKU1000"/>
    <n v="6249"/>
    <n v="22.91"/>
    <n v="318.39"/>
  </r>
  <r>
    <n v="2022"/>
    <x v="5"/>
    <s v="SKU1001"/>
    <n v="6172"/>
    <n v="11.74"/>
    <n v="362.95"/>
  </r>
  <r>
    <n v="2022"/>
    <x v="5"/>
    <s v="SKU1002"/>
    <n v="2707"/>
    <n v="46.99"/>
    <n v="130.24"/>
  </r>
  <r>
    <n v="2022"/>
    <x v="5"/>
    <s v="SKU1003"/>
    <n v="6791"/>
    <n v="46.76"/>
    <n v="352.46"/>
  </r>
  <r>
    <n v="2022"/>
    <x v="5"/>
    <s v="SKU1004"/>
    <n v="6535"/>
    <n v="20.12"/>
    <n v="377.05"/>
  </r>
  <r>
    <n v="2022"/>
    <x v="5"/>
    <s v="SKU1005"/>
    <n v="5931"/>
    <n v="37.82"/>
    <n v="257.68"/>
  </r>
  <r>
    <n v="2022"/>
    <x v="5"/>
    <s v="SKU1006"/>
    <n v="4510"/>
    <n v="13.02"/>
    <n v="244.47"/>
  </r>
  <r>
    <n v="2022"/>
    <x v="5"/>
    <s v="SKU1007"/>
    <n v="1202"/>
    <n v="16.649999999999999"/>
    <n v="77.64"/>
  </r>
  <r>
    <n v="2022"/>
    <x v="5"/>
    <s v="SKU1008"/>
    <n v="5218"/>
    <n v="18.670000000000002"/>
    <n v="339.92"/>
  </r>
  <r>
    <n v="2022"/>
    <x v="5"/>
    <s v="SKU1009"/>
    <n v="9958"/>
    <n v="21.78"/>
    <n v="524.74"/>
  </r>
  <r>
    <n v="2022"/>
    <x v="5"/>
    <s v="SKU1000"/>
    <n v="5389"/>
    <n v="49.83"/>
    <n v="275.89999999999998"/>
  </r>
  <r>
    <n v="2022"/>
    <x v="6"/>
    <s v="SKU1001"/>
    <n v="3327"/>
    <n v="37.880000000000003"/>
    <n v="133.28"/>
  </r>
  <r>
    <n v="2022"/>
    <x v="6"/>
    <s v="SKU1002"/>
    <n v="9004"/>
    <n v="25.37"/>
    <n v="472.62"/>
  </r>
  <r>
    <n v="2022"/>
    <x v="6"/>
    <s v="SKU1003"/>
    <n v="3931"/>
    <n v="39.479999999999997"/>
    <n v="218.74"/>
  </r>
  <r>
    <n v="2022"/>
    <x v="6"/>
    <s v="SKU1004"/>
    <n v="8777"/>
    <n v="46.61"/>
    <n v="450.16"/>
  </r>
  <r>
    <n v="2022"/>
    <x v="6"/>
    <s v="SKU1005"/>
    <n v="1197"/>
    <n v="48.35"/>
    <n v="64.3"/>
  </r>
  <r>
    <n v="2022"/>
    <x v="6"/>
    <s v="SKU1006"/>
    <n v="8125"/>
    <n v="12.31"/>
    <n v="441.73"/>
  </r>
  <r>
    <n v="2022"/>
    <x v="6"/>
    <s v="SKU1007"/>
    <n v="2930"/>
    <n v="25.78"/>
    <n v="166.79"/>
  </r>
  <r>
    <n v="2022"/>
    <x v="6"/>
    <s v="SKU1008"/>
    <n v="7287"/>
    <n v="14.27"/>
    <n v="363.36"/>
  </r>
  <r>
    <n v="2022"/>
    <x v="6"/>
    <s v="SKU1009"/>
    <n v="9800"/>
    <n v="23.43"/>
    <n v="493.88"/>
  </r>
  <r>
    <n v="2022"/>
    <x v="6"/>
    <s v="SKU1000"/>
    <n v="5282"/>
    <n v="16.79"/>
    <n v="298.57"/>
  </r>
  <r>
    <n v="2022"/>
    <x v="6"/>
    <s v="SKU1001"/>
    <n v="3511"/>
    <n v="35.869999999999997"/>
    <n v="168.18"/>
  </r>
  <r>
    <n v="2022"/>
    <x v="6"/>
    <s v="SKU1002"/>
    <n v="1659"/>
    <n v="25.53"/>
    <n v="116.09"/>
  </r>
  <r>
    <n v="2022"/>
    <x v="6"/>
    <s v="SKU1003"/>
    <n v="3811"/>
    <n v="19.18"/>
    <n v="226.87"/>
  </r>
  <r>
    <n v="2022"/>
    <x v="6"/>
    <s v="SKU1004"/>
    <n v="8098"/>
    <n v="20.64"/>
    <n v="457.48"/>
  </r>
  <r>
    <n v="2022"/>
    <x v="6"/>
    <s v="SKU1005"/>
    <n v="7546"/>
    <n v="24.41"/>
    <n v="417.17"/>
  </r>
  <r>
    <n v="2022"/>
    <x v="6"/>
    <s v="SKU1006"/>
    <n v="2986"/>
    <n v="20.399999999999999"/>
    <n v="179.37"/>
  </r>
  <r>
    <n v="2022"/>
    <x v="6"/>
    <s v="SKU1007"/>
    <n v="9338"/>
    <n v="28.13"/>
    <n v="498.1"/>
  </r>
  <r>
    <n v="2022"/>
    <x v="6"/>
    <s v="SKU1008"/>
    <n v="3911"/>
    <n v="11.29"/>
    <n v="252.1"/>
  </r>
  <r>
    <n v="2022"/>
    <x v="6"/>
    <s v="SKU1009"/>
    <n v="2734"/>
    <n v="21.19"/>
    <n v="151.12"/>
  </r>
  <r>
    <n v="2022"/>
    <x v="6"/>
    <s v="SKU1000"/>
    <n v="2843"/>
    <n v="26.45"/>
    <n v="153.83000000000001"/>
  </r>
  <r>
    <n v="2022"/>
    <x v="6"/>
    <s v="SKU1001"/>
    <n v="9680"/>
    <n v="34.11"/>
    <n v="491.13"/>
  </r>
  <r>
    <n v="2022"/>
    <x v="6"/>
    <s v="SKU1002"/>
    <n v="3976"/>
    <n v="20.84"/>
    <n v="214.28"/>
  </r>
  <r>
    <n v="2022"/>
    <x v="6"/>
    <s v="SKU1003"/>
    <n v="2959"/>
    <n v="15.33"/>
    <n v="199.87"/>
  </r>
  <r>
    <n v="2022"/>
    <x v="6"/>
    <s v="SKU1004"/>
    <n v="6759"/>
    <n v="13.05"/>
    <n v="359.75"/>
  </r>
  <r>
    <n v="2022"/>
    <x v="6"/>
    <s v="SKU1005"/>
    <n v="7694"/>
    <n v="47.62"/>
    <n v="402.59"/>
  </r>
  <r>
    <n v="2022"/>
    <x v="6"/>
    <s v="SKU1006"/>
    <n v="3385"/>
    <n v="26.67"/>
    <n v="179.91"/>
  </r>
  <r>
    <n v="2022"/>
    <x v="6"/>
    <s v="SKU1007"/>
    <n v="5736"/>
    <n v="33.25"/>
    <n v="306.35000000000002"/>
  </r>
  <r>
    <n v="2022"/>
    <x v="6"/>
    <s v="SKU1008"/>
    <n v="2802"/>
    <n v="46.77"/>
    <n v="137.31"/>
  </r>
  <r>
    <n v="2022"/>
    <x v="6"/>
    <s v="SKU1009"/>
    <n v="9155"/>
    <n v="13.31"/>
    <n v="472.26"/>
  </r>
  <r>
    <n v="2022"/>
    <x v="6"/>
    <s v="SKU1000"/>
    <n v="9120"/>
    <n v="45.07"/>
    <n v="451.52"/>
  </r>
  <r>
    <n v="2022"/>
    <x v="6"/>
    <s v="SKU1001"/>
    <n v="7616"/>
    <n v="32.06"/>
    <n v="399"/>
  </r>
  <r>
    <n v="2022"/>
    <x v="7"/>
    <s v="SKU1002"/>
    <n v="6534"/>
    <n v="16.59"/>
    <n v="355.5"/>
  </r>
  <r>
    <n v="2022"/>
    <x v="7"/>
    <s v="SKU1003"/>
    <n v="5061"/>
    <n v="26.45"/>
    <n v="244.46"/>
  </r>
  <r>
    <n v="2022"/>
    <x v="7"/>
    <s v="SKU1004"/>
    <n v="1262"/>
    <n v="41.1"/>
    <n v="97.8"/>
  </r>
  <r>
    <n v="2022"/>
    <x v="7"/>
    <s v="SKU1005"/>
    <n v="7287"/>
    <n v="29.21"/>
    <n v="381.05"/>
  </r>
  <r>
    <n v="2022"/>
    <x v="7"/>
    <s v="SKU1006"/>
    <n v="9815"/>
    <n v="49.41"/>
    <n v="465.57"/>
  </r>
  <r>
    <n v="2022"/>
    <x v="7"/>
    <s v="SKU1007"/>
    <n v="3049"/>
    <n v="25.07"/>
    <n v="204.78"/>
  </r>
  <r>
    <n v="2022"/>
    <x v="7"/>
    <s v="SKU1008"/>
    <n v="6423"/>
    <n v="39.979999999999997"/>
    <n v="335.52"/>
  </r>
  <r>
    <n v="2022"/>
    <x v="7"/>
    <s v="SKU1009"/>
    <n v="5548"/>
    <n v="25.72"/>
    <n v="272.52999999999997"/>
  </r>
  <r>
    <n v="2022"/>
    <x v="7"/>
    <s v="SKU1000"/>
    <n v="4108"/>
    <n v="43.17"/>
    <n v="182.71"/>
  </r>
  <r>
    <n v="2022"/>
    <x v="7"/>
    <s v="SKU1001"/>
    <n v="8158"/>
    <n v="32.76"/>
    <n v="414.14"/>
  </r>
  <r>
    <n v="2022"/>
    <x v="7"/>
    <s v="SKU1002"/>
    <n v="8400"/>
    <n v="12.54"/>
    <n v="460.9"/>
  </r>
  <r>
    <n v="2022"/>
    <x v="7"/>
    <s v="SKU1003"/>
    <n v="4170"/>
    <n v="11.47"/>
    <n v="257.19"/>
  </r>
  <r>
    <n v="2022"/>
    <x v="7"/>
    <s v="SKU1004"/>
    <n v="3255"/>
    <n v="15.35"/>
    <n v="213.33"/>
  </r>
  <r>
    <n v="2022"/>
    <x v="7"/>
    <s v="SKU1005"/>
    <n v="2154"/>
    <n v="10.55"/>
    <n v="155.84"/>
  </r>
  <r>
    <n v="2022"/>
    <x v="7"/>
    <s v="SKU1006"/>
    <n v="5499"/>
    <n v="13.01"/>
    <n v="336.27"/>
  </r>
  <r>
    <n v="2022"/>
    <x v="7"/>
    <s v="SKU1007"/>
    <n v="7295"/>
    <n v="37.67"/>
    <n v="372.08"/>
  </r>
  <r>
    <n v="2022"/>
    <x v="7"/>
    <s v="SKU1008"/>
    <n v="7197"/>
    <n v="31.37"/>
    <n v="357.01"/>
  </r>
  <r>
    <n v="2022"/>
    <x v="7"/>
    <s v="SKU1009"/>
    <n v="2648"/>
    <n v="40"/>
    <n v="134.34"/>
  </r>
  <r>
    <n v="2022"/>
    <x v="7"/>
    <s v="SKU1000"/>
    <n v="6539"/>
    <n v="46.53"/>
    <n v="319.74"/>
  </r>
  <r>
    <n v="2022"/>
    <x v="7"/>
    <s v="SKU1001"/>
    <n v="5199"/>
    <n v="33.409999999999997"/>
    <n v="218.3"/>
  </r>
  <r>
    <n v="2022"/>
    <x v="7"/>
    <s v="SKU1002"/>
    <n v="9445"/>
    <n v="39.04"/>
    <n v="464.17"/>
  </r>
  <r>
    <n v="2022"/>
    <x v="7"/>
    <s v="SKU1003"/>
    <n v="3557"/>
    <n v="40.28"/>
    <n v="185.79"/>
  </r>
  <r>
    <n v="2022"/>
    <x v="7"/>
    <s v="SKU1004"/>
    <n v="6592"/>
    <n v="25.11"/>
    <n v="340.98"/>
  </r>
  <r>
    <n v="2022"/>
    <x v="7"/>
    <s v="SKU1005"/>
    <n v="1098"/>
    <n v="19.64"/>
    <n v="68.400000000000006"/>
  </r>
  <r>
    <n v="2022"/>
    <x v="7"/>
    <s v="SKU1006"/>
    <n v="3200"/>
    <n v="18.2"/>
    <n v="206.39"/>
  </r>
  <r>
    <n v="2022"/>
    <x v="7"/>
    <s v="SKU1007"/>
    <n v="3961"/>
    <n v="20.059999999999999"/>
    <n v="205.65"/>
  </r>
  <r>
    <n v="2022"/>
    <x v="7"/>
    <s v="SKU1008"/>
    <n v="5973"/>
    <n v="20.99"/>
    <n v="337.7"/>
  </r>
  <r>
    <n v="2022"/>
    <x v="7"/>
    <s v="SKU1009"/>
    <n v="5433"/>
    <n v="18.29"/>
    <n v="273.05"/>
  </r>
  <r>
    <n v="2022"/>
    <x v="7"/>
    <s v="SKU1000"/>
    <n v="3869"/>
    <n v="45.13"/>
    <n v="244.51"/>
  </r>
  <r>
    <n v="2022"/>
    <x v="7"/>
    <s v="SKU1001"/>
    <n v="1956"/>
    <n v="40.28"/>
    <n v="95.15"/>
  </r>
  <r>
    <n v="2022"/>
    <x v="7"/>
    <s v="SKU1002"/>
    <n v="9352"/>
    <n v="11.88"/>
    <n v="496.88"/>
  </r>
  <r>
    <n v="2022"/>
    <x v="8"/>
    <s v="SKU1003"/>
    <n v="6699"/>
    <n v="20.75"/>
    <n v="382.92"/>
  </r>
  <r>
    <n v="2022"/>
    <x v="8"/>
    <s v="SKU1004"/>
    <n v="7944"/>
    <n v="10.89"/>
    <n v="425.76"/>
  </r>
  <r>
    <n v="2022"/>
    <x v="8"/>
    <s v="SKU1005"/>
    <n v="5493"/>
    <n v="29.93"/>
    <n v="317.83999999999997"/>
  </r>
  <r>
    <n v="2022"/>
    <x v="8"/>
    <s v="SKU1006"/>
    <n v="5911"/>
    <n v="29.05"/>
    <n v="318.12"/>
  </r>
  <r>
    <n v="2022"/>
    <x v="8"/>
    <s v="SKU1007"/>
    <n v="4987"/>
    <n v="43.25"/>
    <n v="245.08"/>
  </r>
  <r>
    <n v="2022"/>
    <x v="8"/>
    <s v="SKU1008"/>
    <n v="7015"/>
    <n v="22.31"/>
    <n v="369.48"/>
  </r>
  <r>
    <n v="2022"/>
    <x v="8"/>
    <s v="SKU1009"/>
    <n v="2218"/>
    <n v="42.66"/>
    <n v="133.87"/>
  </r>
  <r>
    <n v="2022"/>
    <x v="8"/>
    <s v="SKU1000"/>
    <n v="5496"/>
    <n v="48.72"/>
    <n v="270.95"/>
  </r>
  <r>
    <n v="2022"/>
    <x v="8"/>
    <s v="SKU1001"/>
    <n v="5735"/>
    <n v="13.54"/>
    <n v="329.15"/>
  </r>
  <r>
    <n v="2022"/>
    <x v="8"/>
    <s v="SKU1002"/>
    <n v="5555"/>
    <n v="41.67"/>
    <n v="288.56"/>
  </r>
  <r>
    <n v="2022"/>
    <x v="8"/>
    <s v="SKU1003"/>
    <n v="9050"/>
    <n v="33.6"/>
    <n v="464.84"/>
  </r>
  <r>
    <n v="2022"/>
    <x v="8"/>
    <s v="SKU1004"/>
    <n v="4446"/>
    <n v="29.2"/>
    <n v="247.66"/>
  </r>
  <r>
    <n v="2022"/>
    <x v="8"/>
    <s v="SKU1005"/>
    <n v="2045"/>
    <n v="26.82"/>
    <n v="117.7"/>
  </r>
  <r>
    <n v="2022"/>
    <x v="8"/>
    <s v="SKU1006"/>
    <n v="7893"/>
    <n v="41.39"/>
    <n v="393.99"/>
  </r>
  <r>
    <n v="2022"/>
    <x v="8"/>
    <s v="SKU1007"/>
    <n v="2693"/>
    <n v="35.57"/>
    <n v="119.58"/>
  </r>
  <r>
    <n v="2022"/>
    <x v="8"/>
    <s v="SKU1008"/>
    <n v="4436"/>
    <n v="42.2"/>
    <n v="227.11"/>
  </r>
  <r>
    <n v="2022"/>
    <x v="8"/>
    <s v="SKU1009"/>
    <n v="9754"/>
    <n v="46.13"/>
    <n v="447.96"/>
  </r>
  <r>
    <n v="2022"/>
    <x v="8"/>
    <s v="SKU1000"/>
    <n v="6895"/>
    <n v="34.69"/>
    <n v="358.79"/>
  </r>
  <r>
    <n v="2022"/>
    <x v="8"/>
    <s v="SKU1001"/>
    <n v="4354"/>
    <n v="49.22"/>
    <n v="203.03"/>
  </r>
  <r>
    <n v="2022"/>
    <x v="8"/>
    <s v="SKU1002"/>
    <n v="1225"/>
    <n v="34.32"/>
    <n v="77.55"/>
  </r>
  <r>
    <n v="2022"/>
    <x v="8"/>
    <s v="SKU1003"/>
    <n v="5893"/>
    <n v="35.47"/>
    <n v="281.11"/>
  </r>
  <r>
    <n v="2022"/>
    <x v="8"/>
    <s v="SKU1004"/>
    <n v="8022"/>
    <n v="32.19"/>
    <n v="370.08"/>
  </r>
  <r>
    <n v="2022"/>
    <x v="8"/>
    <s v="SKU1005"/>
    <n v="6600"/>
    <n v="13.64"/>
    <n v="356.61"/>
  </r>
  <r>
    <n v="2022"/>
    <x v="8"/>
    <s v="SKU1006"/>
    <n v="8996"/>
    <n v="39.06"/>
    <n v="432.01"/>
  </r>
  <r>
    <n v="2022"/>
    <x v="8"/>
    <s v="SKU1007"/>
    <n v="8683"/>
    <n v="31.9"/>
    <n v="410.26"/>
  </r>
  <r>
    <n v="2022"/>
    <x v="8"/>
    <s v="SKU1008"/>
    <n v="5642"/>
    <n v="28.04"/>
    <n v="313.82"/>
  </r>
  <r>
    <n v="2022"/>
    <x v="8"/>
    <s v="SKU1009"/>
    <n v="8679"/>
    <n v="46.42"/>
    <n v="460.27"/>
  </r>
  <r>
    <n v="2022"/>
    <x v="8"/>
    <s v="SKU1000"/>
    <n v="9208"/>
    <n v="21.92"/>
    <n v="468.16"/>
  </r>
  <r>
    <n v="2022"/>
    <x v="8"/>
    <s v="SKU1001"/>
    <n v="8339"/>
    <n v="30.94"/>
    <n v="428.3"/>
  </r>
  <r>
    <n v="2022"/>
    <x v="8"/>
    <s v="SKU1002"/>
    <n v="3205"/>
    <n v="37.909999999999997"/>
    <n v="158.61000000000001"/>
  </r>
  <r>
    <n v="2022"/>
    <x v="9"/>
    <s v="SKU1003"/>
    <n v="2069"/>
    <n v="41.86"/>
    <n v="90.04"/>
  </r>
  <r>
    <n v="2022"/>
    <x v="9"/>
    <s v="SKU1004"/>
    <n v="4444"/>
    <n v="28.37"/>
    <n v="251.43"/>
  </r>
  <r>
    <n v="2022"/>
    <x v="9"/>
    <s v="SKU1005"/>
    <n v="2060"/>
    <n v="43.68"/>
    <n v="120.78"/>
  </r>
  <r>
    <n v="2022"/>
    <x v="9"/>
    <s v="SKU1006"/>
    <n v="3327"/>
    <n v="40.76"/>
    <n v="150.07"/>
  </r>
  <r>
    <n v="2022"/>
    <x v="9"/>
    <s v="SKU1007"/>
    <n v="4420"/>
    <n v="12.65"/>
    <n v="256.72000000000003"/>
  </r>
  <r>
    <n v="2022"/>
    <x v="9"/>
    <s v="SKU1008"/>
    <n v="1301"/>
    <n v="11.83"/>
    <n v="126.54"/>
  </r>
  <r>
    <n v="2022"/>
    <x v="9"/>
    <s v="SKU1009"/>
    <n v="1606"/>
    <n v="34.83"/>
    <n v="102.28"/>
  </r>
  <r>
    <n v="2022"/>
    <x v="9"/>
    <s v="SKU1000"/>
    <n v="4170"/>
    <n v="23.9"/>
    <n v="246.58"/>
  </r>
  <r>
    <n v="2022"/>
    <x v="9"/>
    <s v="SKU1001"/>
    <n v="1699"/>
    <n v="18.37"/>
    <n v="140.27000000000001"/>
  </r>
  <r>
    <n v="2022"/>
    <x v="9"/>
    <s v="SKU1002"/>
    <n v="6088"/>
    <n v="33.19"/>
    <n v="341.67"/>
  </r>
  <r>
    <n v="2022"/>
    <x v="9"/>
    <s v="SKU1003"/>
    <n v="1190"/>
    <n v="23.66"/>
    <n v="101.68"/>
  </r>
  <r>
    <n v="2022"/>
    <x v="9"/>
    <s v="SKU1004"/>
    <n v="1980"/>
    <n v="31.49"/>
    <n v="114.11"/>
  </r>
  <r>
    <n v="2022"/>
    <x v="9"/>
    <s v="SKU1005"/>
    <n v="3975"/>
    <n v="28.4"/>
    <n v="207.01"/>
  </r>
  <r>
    <n v="2022"/>
    <x v="9"/>
    <s v="SKU1006"/>
    <n v="7102"/>
    <n v="33.39"/>
    <n v="367.1"/>
  </r>
  <r>
    <n v="2022"/>
    <x v="9"/>
    <s v="SKU1007"/>
    <n v="2184"/>
    <n v="26.01"/>
    <n v="117.3"/>
  </r>
  <r>
    <n v="2022"/>
    <x v="9"/>
    <s v="SKU1008"/>
    <n v="4327"/>
    <n v="37.909999999999997"/>
    <n v="181.81"/>
  </r>
  <r>
    <n v="2022"/>
    <x v="9"/>
    <s v="SKU1009"/>
    <n v="4394"/>
    <n v="17.2"/>
    <n v="243.47"/>
  </r>
  <r>
    <n v="2022"/>
    <x v="9"/>
    <s v="SKU1000"/>
    <n v="9319"/>
    <n v="37.86"/>
    <n v="477.67"/>
  </r>
  <r>
    <n v="2022"/>
    <x v="9"/>
    <s v="SKU1001"/>
    <n v="2816"/>
    <n v="26.47"/>
    <n v="147.29"/>
  </r>
  <r>
    <n v="2022"/>
    <x v="9"/>
    <s v="SKU1002"/>
    <n v="6854"/>
    <n v="44.97"/>
    <n v="334.88"/>
  </r>
  <r>
    <n v="2022"/>
    <x v="9"/>
    <s v="SKU1003"/>
    <n v="7709"/>
    <n v="30.61"/>
    <n v="395.64"/>
  </r>
  <r>
    <n v="2022"/>
    <x v="9"/>
    <s v="SKU1004"/>
    <n v="1569"/>
    <n v="48.92"/>
    <n v="96.88"/>
  </r>
  <r>
    <n v="2022"/>
    <x v="9"/>
    <s v="SKU1005"/>
    <n v="6442"/>
    <n v="34.08"/>
    <n v="324.02"/>
  </r>
  <r>
    <n v="2022"/>
    <x v="9"/>
    <s v="SKU1006"/>
    <n v="2895"/>
    <n v="18.95"/>
    <n v="199.14"/>
  </r>
  <r>
    <n v="2022"/>
    <x v="9"/>
    <s v="SKU1007"/>
    <n v="3733"/>
    <n v="42.87"/>
    <n v="130.94999999999999"/>
  </r>
  <r>
    <n v="2022"/>
    <x v="9"/>
    <s v="SKU1008"/>
    <n v="4863"/>
    <n v="23.8"/>
    <n v="291.54000000000002"/>
  </r>
  <r>
    <n v="2022"/>
    <x v="9"/>
    <s v="SKU1009"/>
    <n v="8455"/>
    <n v="23.9"/>
    <n v="470.01"/>
  </r>
  <r>
    <n v="2022"/>
    <x v="9"/>
    <s v="SKU1000"/>
    <n v="5014"/>
    <n v="11.27"/>
    <n v="305.22000000000003"/>
  </r>
  <r>
    <n v="2022"/>
    <x v="9"/>
    <s v="SKU1001"/>
    <n v="2686"/>
    <n v="31.95"/>
    <n v="105.72"/>
  </r>
  <r>
    <n v="2022"/>
    <x v="9"/>
    <s v="SKU1002"/>
    <n v="4009"/>
    <n v="31.38"/>
    <n v="233.18"/>
  </r>
  <r>
    <n v="2022"/>
    <x v="9"/>
    <s v="SKU1003"/>
    <n v="8806"/>
    <n v="24.24"/>
    <n v="460.21"/>
  </r>
  <r>
    <n v="2022"/>
    <x v="10"/>
    <s v="SKU1004"/>
    <n v="1154"/>
    <n v="45.77"/>
    <n v="2.19"/>
  </r>
  <r>
    <n v="2022"/>
    <x v="10"/>
    <s v="SKU1005"/>
    <n v="2409"/>
    <n v="15.15"/>
    <n v="178.23"/>
  </r>
  <r>
    <n v="2022"/>
    <x v="10"/>
    <s v="SKU1006"/>
    <n v="1784"/>
    <n v="23.2"/>
    <n v="140.24"/>
  </r>
  <r>
    <n v="2022"/>
    <x v="10"/>
    <s v="SKU1007"/>
    <n v="9096"/>
    <n v="22.86"/>
    <n v="439.27"/>
  </r>
  <r>
    <n v="2022"/>
    <x v="10"/>
    <s v="SKU1008"/>
    <n v="8560"/>
    <n v="13.69"/>
    <n v="465.08"/>
  </r>
  <r>
    <n v="2022"/>
    <x v="10"/>
    <s v="SKU1009"/>
    <n v="8343"/>
    <n v="29.25"/>
    <n v="459.83"/>
  </r>
  <r>
    <n v="2022"/>
    <x v="10"/>
    <s v="SKU1000"/>
    <n v="8206"/>
    <n v="37.51"/>
    <n v="439.89"/>
  </r>
  <r>
    <n v="2022"/>
    <x v="10"/>
    <s v="SKU1001"/>
    <n v="6596"/>
    <n v="30.47"/>
    <n v="359.96"/>
  </r>
  <r>
    <n v="2022"/>
    <x v="10"/>
    <s v="SKU1002"/>
    <n v="6801"/>
    <n v="16.28"/>
    <n v="317.57"/>
  </r>
  <r>
    <n v="2022"/>
    <x v="10"/>
    <s v="SKU1003"/>
    <n v="3806"/>
    <n v="25.09"/>
    <n v="224.78"/>
  </r>
  <r>
    <n v="2022"/>
    <x v="10"/>
    <s v="SKU1004"/>
    <n v="1537"/>
    <n v="10.1"/>
    <n v="110.36"/>
  </r>
  <r>
    <n v="2022"/>
    <x v="10"/>
    <s v="SKU1005"/>
    <n v="6986"/>
    <n v="44.73"/>
    <n v="365.54"/>
  </r>
  <r>
    <n v="2022"/>
    <x v="10"/>
    <s v="SKU1006"/>
    <n v="2841"/>
    <n v="13.38"/>
    <n v="181.12"/>
  </r>
  <r>
    <n v="2022"/>
    <x v="10"/>
    <s v="SKU1007"/>
    <n v="9716"/>
    <n v="33.89"/>
    <n v="494.73"/>
  </r>
  <r>
    <n v="2022"/>
    <x v="10"/>
    <s v="SKU1008"/>
    <n v="7971"/>
    <n v="49.45"/>
    <n v="402.03"/>
  </r>
  <r>
    <n v="2022"/>
    <x v="10"/>
    <s v="SKU1009"/>
    <n v="6625"/>
    <n v="31.46"/>
    <n v="340.06"/>
  </r>
  <r>
    <n v="2022"/>
    <x v="11"/>
    <s v="SKU1000"/>
    <n v="3950"/>
    <n v="46.96"/>
    <n v="190.66"/>
  </r>
  <r>
    <n v="2022"/>
    <x v="11"/>
    <s v="SKU1001"/>
    <n v="8992"/>
    <n v="19.440000000000001"/>
    <n v="465.16"/>
  </r>
  <r>
    <n v="2022"/>
    <x v="11"/>
    <s v="SKU1002"/>
    <n v="5780"/>
    <n v="40.4"/>
    <n v="258.41000000000003"/>
  </r>
  <r>
    <n v="2022"/>
    <x v="11"/>
    <s v="SKU1003"/>
    <n v="3368"/>
    <n v="31.25"/>
    <n v="192.26"/>
  </r>
  <r>
    <n v="2022"/>
    <x v="11"/>
    <s v="SKU1004"/>
    <n v="7655"/>
    <n v="38.82"/>
    <n v="370.04"/>
  </r>
  <r>
    <n v="2022"/>
    <x v="11"/>
    <s v="SKU1005"/>
    <n v="9173"/>
    <n v="12.49"/>
    <n v="489.64"/>
  </r>
  <r>
    <n v="2022"/>
    <x v="11"/>
    <s v="SKU1006"/>
    <n v="5495"/>
    <n v="15.91"/>
    <n v="311.39999999999998"/>
  </r>
  <r>
    <n v="2022"/>
    <x v="11"/>
    <s v="SKU1007"/>
    <n v="7002"/>
    <n v="15.32"/>
    <n v="340.01"/>
  </r>
  <r>
    <n v="2022"/>
    <x v="11"/>
    <s v="SKU1008"/>
    <n v="7614"/>
    <n v="37.49"/>
    <n v="348.49"/>
  </r>
  <r>
    <n v="2022"/>
    <x v="11"/>
    <s v="SKU1009"/>
    <n v="6919"/>
    <n v="43.78"/>
    <n v="337.42"/>
  </r>
  <r>
    <n v="2022"/>
    <x v="11"/>
    <s v="SKU1000"/>
    <n v="1853"/>
    <n v="39.979999999999997"/>
    <n v="103.76"/>
  </r>
  <r>
    <n v="2022"/>
    <x v="11"/>
    <s v="SKU1001"/>
    <n v="5146"/>
    <n v="11.22"/>
    <n v="308.72000000000003"/>
  </r>
  <r>
    <n v="2022"/>
    <x v="11"/>
    <s v="SKU1002"/>
    <n v="4769"/>
    <n v="44.69"/>
    <n v="203"/>
  </r>
  <r>
    <n v="2022"/>
    <x v="11"/>
    <s v="SKU1003"/>
    <n v="1574"/>
    <n v="24.17"/>
    <n v="112.43"/>
  </r>
  <r>
    <n v="2022"/>
    <x v="11"/>
    <s v="SKU1004"/>
    <n v="2148"/>
    <n v="25.89"/>
    <n v="121.43"/>
  </r>
  <r>
    <n v="2022"/>
    <x v="11"/>
    <s v="SKU1005"/>
    <n v="7293"/>
    <n v="14.19"/>
    <n v="379.95"/>
  </r>
  <r>
    <n v="2022"/>
    <x v="11"/>
    <s v="SKU1006"/>
    <n v="7457"/>
    <n v="39.5"/>
    <n v="362.48"/>
  </r>
  <r>
    <n v="2022"/>
    <x v="11"/>
    <s v="SKU1007"/>
    <n v="8509"/>
    <n v="17.29"/>
    <n v="470.74"/>
  </r>
  <r>
    <n v="2022"/>
    <x v="11"/>
    <s v="SKU1008"/>
    <n v="5777"/>
    <n v="32.56"/>
    <n v="305.26"/>
  </r>
  <r>
    <n v="2022"/>
    <x v="11"/>
    <s v="SKU1009"/>
    <n v="4854"/>
    <n v="43.63"/>
    <n v="241.35"/>
  </r>
  <r>
    <n v="2022"/>
    <x v="11"/>
    <s v="SKU1000"/>
    <n v="3491"/>
    <n v="13.57"/>
    <n v="213.14"/>
  </r>
  <r>
    <n v="2022"/>
    <x v="11"/>
    <s v="SKU1001"/>
    <n v="4124"/>
    <n v="31.41"/>
    <n v="237.07"/>
  </r>
  <r>
    <n v="2022"/>
    <x v="11"/>
    <s v="SKU1002"/>
    <n v="6691"/>
    <n v="19.329999999999998"/>
    <n v="359.41"/>
  </r>
  <r>
    <n v="2022"/>
    <x v="11"/>
    <s v="SKU1003"/>
    <n v="4051"/>
    <n v="23.72"/>
    <n v="225.18"/>
  </r>
  <r>
    <n v="2022"/>
    <x v="11"/>
    <s v="SKU1004"/>
    <n v="1004"/>
    <n v="28.96"/>
    <n v="88.21"/>
  </r>
  <r>
    <n v="2022"/>
    <x v="11"/>
    <s v="SKU1005"/>
    <n v="6222"/>
    <n v="24.2"/>
    <n v="325.42"/>
  </r>
  <r>
    <n v="2022"/>
    <x v="11"/>
    <s v="SKU1006"/>
    <n v="6315"/>
    <n v="35.950000000000003"/>
    <n v="334.97"/>
  </r>
  <r>
    <n v="2022"/>
    <x v="11"/>
    <s v="SKU1007"/>
    <n v="5869"/>
    <n v="29.18"/>
    <n v="298.36"/>
  </r>
  <r>
    <n v="2022"/>
    <x v="11"/>
    <s v="SKU1008"/>
    <n v="1876"/>
    <n v="33.369999999999997"/>
    <n v="95.44"/>
  </r>
  <r>
    <n v="2022"/>
    <x v="11"/>
    <s v="SKU1009"/>
    <n v="8027"/>
    <n v="39.47"/>
    <n v="401.9"/>
  </r>
  <r>
    <n v="2022"/>
    <x v="11"/>
    <s v="SKU1000"/>
    <n v="5142"/>
    <n v="32.31"/>
    <n v="278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B8A90-F09D-4CDA-9B69-937A6BB6C8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6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Sales (Units)" fld="5" subtotal="average" baseField="1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C95A7-79BC-4D3C-AEB2-450D8C798BD7}" name="Table1" displayName="Table1" ref="A3:F354" totalsRowShown="0" headerRowDxfId="15" headerRowBorderDxfId="14" tableBorderDxfId="13">
  <autoFilter ref="A3:F354" xr:uid="{E82C95A7-79BC-4D3C-AEB2-450D8C798BD7}"/>
  <tableColumns count="6">
    <tableColumn id="1" xr3:uid="{1ACEADBA-5B6B-427B-8B68-FA2902C20AFA}" name="Year" dataDxfId="12"/>
    <tableColumn id="2" xr3:uid="{F5FD71C6-3A72-497B-9A7C-48114A87E46B}" name="Month"/>
    <tableColumn id="3" xr3:uid="{B0CCBB42-C352-489B-BB58-3599D638139A}" name="SKU"/>
    <tableColumn id="4" xr3:uid="{4B4178A1-DFDB-4E75-A82B-50E7AD263F44}" name="Marketing_Spend (INR)"/>
    <tableColumn id="5" xr3:uid="{67F23EBB-F90D-4953-9FD6-9F4954DD4D4C}" name="Price (INR/unit)"/>
    <tableColumn id="6" xr3:uid="{582958E9-9A5A-4136-9A6D-4E87E0892DCD}" name="Sales (Units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2562E-B2A7-405F-9DA9-20CF0E0E49C2}" name="Table13" displayName="Table13" ref="A3:F354" totalsRowShown="0" headerRowDxfId="11" headerRowBorderDxfId="10" tableBorderDxfId="9">
  <autoFilter ref="A3:F354" xr:uid="{E82C95A7-79BC-4D3C-AEB2-450D8C798BD7}"/>
  <tableColumns count="6">
    <tableColumn id="1" xr3:uid="{85A82975-754A-48F9-9061-9D9E5D471131}" name="Year" dataDxfId="8"/>
    <tableColumn id="2" xr3:uid="{BE1674EE-C87F-4373-B168-B8FDC6690FA5}" name="Month"/>
    <tableColumn id="3" xr3:uid="{F329E0AD-F530-47C4-9FCB-B0271ED28909}" name="SKU"/>
    <tableColumn id="4" xr3:uid="{50E03C57-7165-489C-89EF-D6FB1B2D2ABA}" name="Marketing_Spend (INR)"/>
    <tableColumn id="5" xr3:uid="{B00B1D1A-C073-4C7D-BF0B-2F61464ED2D5}" name="Price (INR/unit)"/>
    <tableColumn id="6" xr3:uid="{5452C04E-CDAC-4703-990D-8F0B75E94AE9}" name="Sales (Units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2142A-6926-421B-A21F-CF84792E0B80}" name="Table134" displayName="Table134" ref="A3:F354" totalsRowShown="0" headerRowDxfId="7" headerRowBorderDxfId="6" tableBorderDxfId="5">
  <autoFilter ref="A3:F354" xr:uid="{E82C95A7-79BC-4D3C-AEB2-450D8C798BD7}"/>
  <tableColumns count="6">
    <tableColumn id="1" xr3:uid="{CE34314F-3806-4FDB-91E7-37FB0F716B9D}" name="Year" dataDxfId="4"/>
    <tableColumn id="2" xr3:uid="{F8F59854-A8FA-45DE-AC87-D32D216B685F}" name="Month"/>
    <tableColumn id="3" xr3:uid="{BB3B19D6-92FC-4664-8796-302064D8181B}" name="SKU"/>
    <tableColumn id="4" xr3:uid="{4E2305F2-E656-41BA-8902-4F1A43145E0E}" name="Marketing_Spend (INR)"/>
    <tableColumn id="5" xr3:uid="{5C02E01F-A527-4769-893C-34145AA736B2}" name="Price (INR/unit)"/>
    <tableColumn id="6" xr3:uid="{9D740A7A-E6A2-4DEB-92B5-8DFA6EC3FCF9}" name="Sales (Units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DB106C-8E29-40AB-A399-32C474F6B356}" name="Table1345" displayName="Table1345" ref="A3:F354" totalsRowShown="0" headerRowDxfId="3" headerRowBorderDxfId="2" tableBorderDxfId="1">
  <autoFilter ref="A3:F354" xr:uid="{E82C95A7-79BC-4D3C-AEB2-450D8C798BD7}"/>
  <tableColumns count="6">
    <tableColumn id="1" xr3:uid="{B2BE4FCD-5E2F-4586-BCCF-5683309CECF2}" name="Year" dataDxfId="0"/>
    <tableColumn id="2" xr3:uid="{774C0161-DEA9-4ECA-9440-C8C7E2B0CD96}" name="Month"/>
    <tableColumn id="3" xr3:uid="{E145F346-8D37-4678-9813-F1CD6D9E29E7}" name="SKU"/>
    <tableColumn id="4" xr3:uid="{D19DB9DB-73BE-4A84-8F9E-E018A6B0BEAA}" name="Marketing_Spend (INR)"/>
    <tableColumn id="5" xr3:uid="{A91CFD89-3D1B-4920-8F5A-2FC0511CB143}" name="Price (INR/unit)"/>
    <tableColumn id="6" xr3:uid="{C8148CE4-87BA-46D3-B242-41BCAB9C89AA}" name="Sales (Unit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4"/>
  <sheetViews>
    <sheetView zoomScale="92" workbookViewId="0">
      <selection activeCell="I29" sqref="I29"/>
    </sheetView>
  </sheetViews>
  <sheetFormatPr defaultColWidth="9" defaultRowHeight="14.5"/>
  <cols>
    <col min="1" max="1" width="17" customWidth="1"/>
    <col min="2" max="2" width="15.1796875" customWidth="1"/>
    <col min="3" max="3" width="16.90625" customWidth="1"/>
    <col min="4" max="4" width="24" customWidth="1"/>
    <col min="5" max="5" width="20.6328125" customWidth="1"/>
    <col min="6" max="6" width="14" customWidth="1"/>
    <col min="11" max="11" width="9.453125" bestFit="1" customWidth="1"/>
  </cols>
  <sheetData>
    <row r="1" spans="1:12" ht="19" thickBot="1">
      <c r="A1" s="3"/>
      <c r="B1" s="3"/>
      <c r="C1" s="3"/>
      <c r="D1" s="6" t="s">
        <v>28</v>
      </c>
      <c r="E1" s="7"/>
      <c r="F1" s="7"/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>
      <c r="H2">
        <f>_xlfn.QUARTILE.INC(F:F,1)</f>
        <v>184.98500000000001</v>
      </c>
      <c r="I2">
        <f>_xlfn.QUARTILE.INC(F:F,3)</f>
        <v>399.11</v>
      </c>
      <c r="J2">
        <f>I2-H2</f>
        <v>214.125</v>
      </c>
      <c r="K2">
        <f>H2-1.5*J2</f>
        <v>-136.20249999999999</v>
      </c>
      <c r="L2">
        <f>I2+1.5*J2</f>
        <v>720.29750000000001</v>
      </c>
    </row>
    <row r="3" spans="1:12" ht="15.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12">
      <c r="A4" s="5">
        <v>2022</v>
      </c>
      <c r="B4" t="s">
        <v>6</v>
      </c>
      <c r="C4" t="s">
        <v>7</v>
      </c>
      <c r="D4">
        <v>8270</v>
      </c>
      <c r="E4">
        <v>37.979999999999997</v>
      </c>
      <c r="F4">
        <v>447.51</v>
      </c>
    </row>
    <row r="5" spans="1:12">
      <c r="A5" s="5">
        <v>2022</v>
      </c>
      <c r="B5" t="s">
        <v>6</v>
      </c>
      <c r="C5" t="s">
        <v>8</v>
      </c>
      <c r="D5">
        <v>1860</v>
      </c>
      <c r="E5">
        <v>15.53</v>
      </c>
      <c r="F5">
        <v>164.08</v>
      </c>
    </row>
    <row r="6" spans="1:12">
      <c r="A6" s="5">
        <v>2022</v>
      </c>
      <c r="B6" t="s">
        <v>6</v>
      </c>
      <c r="C6" t="s">
        <v>9</v>
      </c>
      <c r="D6">
        <v>6390</v>
      </c>
      <c r="E6">
        <v>15.31</v>
      </c>
      <c r="F6">
        <v>320.67</v>
      </c>
    </row>
    <row r="7" spans="1:12">
      <c r="A7" s="5">
        <v>2022</v>
      </c>
      <c r="B7" t="s">
        <v>6</v>
      </c>
      <c r="C7" t="s">
        <v>10</v>
      </c>
      <c r="D7">
        <v>6191</v>
      </c>
      <c r="E7">
        <v>48.78</v>
      </c>
      <c r="F7">
        <v>278.29000000000002</v>
      </c>
    </row>
    <row r="8" spans="1:12">
      <c r="A8" s="5">
        <v>2022</v>
      </c>
      <c r="B8" t="s">
        <v>6</v>
      </c>
      <c r="C8" t="s">
        <v>11</v>
      </c>
      <c r="D8">
        <v>6734</v>
      </c>
      <c r="E8">
        <v>38.58</v>
      </c>
      <c r="F8">
        <v>344.92</v>
      </c>
    </row>
    <row r="9" spans="1:12">
      <c r="A9" s="5">
        <v>2022</v>
      </c>
      <c r="B9" t="s">
        <v>6</v>
      </c>
      <c r="C9" t="s">
        <v>12</v>
      </c>
      <c r="D9">
        <v>7265</v>
      </c>
      <c r="E9">
        <v>11.64</v>
      </c>
      <c r="F9">
        <v>416.07</v>
      </c>
    </row>
    <row r="10" spans="1:12">
      <c r="A10" s="5">
        <v>2022</v>
      </c>
      <c r="B10" t="s">
        <v>6</v>
      </c>
      <c r="C10" t="s">
        <v>13</v>
      </c>
      <c r="D10">
        <v>1466</v>
      </c>
      <c r="E10">
        <v>25.95</v>
      </c>
      <c r="F10">
        <v>91.93</v>
      </c>
    </row>
    <row r="11" spans="1:12">
      <c r="A11" s="5">
        <v>2022</v>
      </c>
      <c r="B11" t="s">
        <v>6</v>
      </c>
      <c r="C11" t="s">
        <v>14</v>
      </c>
      <c r="D11">
        <v>5426</v>
      </c>
      <c r="E11">
        <v>27.34</v>
      </c>
      <c r="F11">
        <v>255.73</v>
      </c>
    </row>
    <row r="12" spans="1:12">
      <c r="A12" s="5">
        <v>2022</v>
      </c>
      <c r="B12" t="s">
        <v>6</v>
      </c>
      <c r="C12" t="s">
        <v>15</v>
      </c>
      <c r="D12">
        <v>6578</v>
      </c>
      <c r="E12">
        <v>39.76</v>
      </c>
      <c r="F12">
        <v>341.12</v>
      </c>
    </row>
    <row r="13" spans="1:12">
      <c r="A13" s="5">
        <v>2022</v>
      </c>
      <c r="B13" t="s">
        <v>6</v>
      </c>
      <c r="C13" t="s">
        <v>16</v>
      </c>
      <c r="D13">
        <v>9322</v>
      </c>
      <c r="E13">
        <v>20.03</v>
      </c>
      <c r="F13">
        <v>488.17</v>
      </c>
    </row>
    <row r="14" spans="1:12">
      <c r="A14" s="5">
        <v>2022</v>
      </c>
      <c r="B14" t="s">
        <v>6</v>
      </c>
      <c r="C14" t="s">
        <v>7</v>
      </c>
      <c r="D14">
        <v>2685</v>
      </c>
      <c r="E14">
        <v>17.37</v>
      </c>
      <c r="F14">
        <v>159.28</v>
      </c>
    </row>
    <row r="15" spans="1:12">
      <c r="A15" s="5">
        <v>2022</v>
      </c>
      <c r="B15" t="s">
        <v>6</v>
      </c>
      <c r="C15" t="s">
        <v>8</v>
      </c>
      <c r="D15">
        <v>1769</v>
      </c>
      <c r="E15">
        <v>13.23</v>
      </c>
      <c r="F15">
        <v>77.010000000000005</v>
      </c>
    </row>
    <row r="16" spans="1:12">
      <c r="A16" s="5">
        <v>2022</v>
      </c>
      <c r="B16" t="s">
        <v>6</v>
      </c>
      <c r="C16" t="s">
        <v>9</v>
      </c>
      <c r="D16">
        <v>7949</v>
      </c>
      <c r="E16">
        <v>27.13</v>
      </c>
      <c r="F16">
        <v>430.84</v>
      </c>
    </row>
    <row r="17" spans="1:6">
      <c r="A17" s="5">
        <v>2022</v>
      </c>
      <c r="B17" t="s">
        <v>6</v>
      </c>
      <c r="C17" t="s">
        <v>10</v>
      </c>
      <c r="D17">
        <v>3433</v>
      </c>
      <c r="E17">
        <v>37.54</v>
      </c>
      <c r="F17">
        <v>179.51</v>
      </c>
    </row>
    <row r="18" spans="1:6">
      <c r="A18" s="5">
        <v>2022</v>
      </c>
      <c r="B18" t="s">
        <v>6</v>
      </c>
      <c r="C18" t="s">
        <v>11</v>
      </c>
      <c r="D18">
        <v>6311</v>
      </c>
      <c r="E18">
        <v>12.33</v>
      </c>
      <c r="F18">
        <v>386.66</v>
      </c>
    </row>
    <row r="19" spans="1:6">
      <c r="A19" s="5">
        <v>2022</v>
      </c>
      <c r="B19" t="s">
        <v>6</v>
      </c>
      <c r="C19" t="s">
        <v>12</v>
      </c>
      <c r="D19">
        <v>6051</v>
      </c>
      <c r="E19">
        <v>46.61</v>
      </c>
      <c r="F19">
        <v>295.13</v>
      </c>
    </row>
    <row r="20" spans="1:6">
      <c r="A20" s="5">
        <v>2022</v>
      </c>
      <c r="B20" t="s">
        <v>6</v>
      </c>
      <c r="C20" t="s">
        <v>13</v>
      </c>
      <c r="D20">
        <v>7420</v>
      </c>
      <c r="E20">
        <v>27.69</v>
      </c>
      <c r="F20">
        <v>399.09</v>
      </c>
    </row>
    <row r="21" spans="1:6">
      <c r="A21" s="5">
        <v>2022</v>
      </c>
      <c r="B21" t="s">
        <v>6</v>
      </c>
      <c r="C21" t="s">
        <v>14</v>
      </c>
      <c r="D21">
        <v>2184</v>
      </c>
      <c r="E21">
        <v>19.59</v>
      </c>
      <c r="F21">
        <v>152.33000000000001</v>
      </c>
    </row>
    <row r="22" spans="1:6">
      <c r="A22" s="5">
        <v>2022</v>
      </c>
      <c r="B22" t="s">
        <v>6</v>
      </c>
      <c r="C22" t="s">
        <v>15</v>
      </c>
      <c r="D22">
        <v>5555</v>
      </c>
      <c r="E22">
        <v>13.75</v>
      </c>
      <c r="F22">
        <v>276.32</v>
      </c>
    </row>
    <row r="23" spans="1:6">
      <c r="A23" s="5">
        <v>2022</v>
      </c>
      <c r="B23" t="s">
        <v>6</v>
      </c>
      <c r="C23" t="s">
        <v>16</v>
      </c>
      <c r="D23">
        <v>4385</v>
      </c>
      <c r="E23">
        <v>17.309999999999999</v>
      </c>
      <c r="F23">
        <v>300.81</v>
      </c>
    </row>
    <row r="24" spans="1:6">
      <c r="A24" s="5">
        <v>2022</v>
      </c>
      <c r="B24" t="s">
        <v>6</v>
      </c>
      <c r="C24" t="s">
        <v>7</v>
      </c>
      <c r="D24">
        <v>7396</v>
      </c>
      <c r="E24">
        <v>47.38</v>
      </c>
      <c r="F24">
        <v>354.32</v>
      </c>
    </row>
    <row r="25" spans="1:6">
      <c r="A25" s="5">
        <v>2022</v>
      </c>
      <c r="B25" t="s">
        <v>6</v>
      </c>
      <c r="C25" t="s">
        <v>8</v>
      </c>
      <c r="D25">
        <v>9666</v>
      </c>
      <c r="E25">
        <v>35.53</v>
      </c>
      <c r="F25">
        <v>500.55</v>
      </c>
    </row>
    <row r="26" spans="1:6">
      <c r="A26" s="5">
        <v>2022</v>
      </c>
      <c r="B26" t="s">
        <v>6</v>
      </c>
      <c r="C26" t="s">
        <v>9</v>
      </c>
      <c r="D26">
        <v>3558</v>
      </c>
      <c r="E26">
        <v>30.67</v>
      </c>
      <c r="F26">
        <v>203.91</v>
      </c>
    </row>
    <row r="27" spans="1:6">
      <c r="A27" s="5">
        <v>2022</v>
      </c>
      <c r="B27" t="s">
        <v>6</v>
      </c>
      <c r="C27" t="s">
        <v>10</v>
      </c>
      <c r="D27">
        <v>8849</v>
      </c>
      <c r="E27">
        <v>36.28</v>
      </c>
      <c r="F27">
        <v>432.61</v>
      </c>
    </row>
    <row r="28" spans="1:6">
      <c r="A28" s="5">
        <v>2022</v>
      </c>
      <c r="B28" t="s">
        <v>6</v>
      </c>
      <c r="C28" t="s">
        <v>11</v>
      </c>
      <c r="D28">
        <v>3047</v>
      </c>
      <c r="E28">
        <v>27.43</v>
      </c>
      <c r="F28">
        <v>206.38</v>
      </c>
    </row>
    <row r="29" spans="1:6">
      <c r="A29" s="5">
        <v>2022</v>
      </c>
      <c r="B29" t="s">
        <v>6</v>
      </c>
      <c r="C29" t="s">
        <v>12</v>
      </c>
      <c r="D29">
        <v>3747</v>
      </c>
      <c r="E29">
        <v>39.200000000000003</v>
      </c>
      <c r="F29">
        <v>195.63</v>
      </c>
    </row>
    <row r="30" spans="1:6">
      <c r="A30" s="5">
        <v>2022</v>
      </c>
      <c r="B30" t="s">
        <v>6</v>
      </c>
      <c r="C30" t="s">
        <v>13</v>
      </c>
      <c r="D30">
        <v>1189</v>
      </c>
      <c r="E30">
        <v>11.91</v>
      </c>
      <c r="F30">
        <v>90.89</v>
      </c>
    </row>
    <row r="31" spans="1:6">
      <c r="A31" s="5">
        <v>2022</v>
      </c>
      <c r="B31" t="s">
        <v>6</v>
      </c>
      <c r="C31" t="s">
        <v>14</v>
      </c>
      <c r="D31">
        <v>3734</v>
      </c>
      <c r="E31">
        <v>32.64</v>
      </c>
      <c r="F31">
        <v>200.3</v>
      </c>
    </row>
    <row r="32" spans="1:6">
      <c r="A32" s="5">
        <v>2022</v>
      </c>
      <c r="B32" t="s">
        <v>6</v>
      </c>
      <c r="C32" t="s">
        <v>15</v>
      </c>
      <c r="D32">
        <v>4005</v>
      </c>
      <c r="E32">
        <v>16.350000000000001</v>
      </c>
      <c r="F32">
        <v>245.92</v>
      </c>
    </row>
    <row r="33" spans="1:6">
      <c r="A33" s="5">
        <v>2022</v>
      </c>
      <c r="B33" t="s">
        <v>6</v>
      </c>
      <c r="C33" t="s">
        <v>16</v>
      </c>
      <c r="D33">
        <v>5658</v>
      </c>
      <c r="E33">
        <v>14.81</v>
      </c>
      <c r="F33">
        <v>315.35000000000002</v>
      </c>
    </row>
    <row r="34" spans="1:6">
      <c r="A34" s="5">
        <v>2022</v>
      </c>
      <c r="B34" t="s">
        <v>6</v>
      </c>
      <c r="C34" t="s">
        <v>7</v>
      </c>
      <c r="D34">
        <v>2899</v>
      </c>
      <c r="E34">
        <v>23.68</v>
      </c>
      <c r="F34">
        <v>184.18</v>
      </c>
    </row>
    <row r="35" spans="1:6">
      <c r="A35" s="5">
        <v>2022</v>
      </c>
      <c r="B35" t="s">
        <v>17</v>
      </c>
      <c r="C35" t="s">
        <v>8</v>
      </c>
      <c r="D35">
        <v>8734</v>
      </c>
      <c r="E35">
        <v>13.67</v>
      </c>
      <c r="F35">
        <v>436.6</v>
      </c>
    </row>
    <row r="36" spans="1:6">
      <c r="A36" s="5">
        <v>2022</v>
      </c>
      <c r="B36" t="s">
        <v>17</v>
      </c>
      <c r="C36" t="s">
        <v>9</v>
      </c>
      <c r="D36">
        <v>2267</v>
      </c>
      <c r="E36">
        <v>13.77</v>
      </c>
      <c r="F36">
        <v>131.87</v>
      </c>
    </row>
    <row r="37" spans="1:6">
      <c r="A37" s="5">
        <v>2022</v>
      </c>
      <c r="B37" t="s">
        <v>17</v>
      </c>
      <c r="C37" t="s">
        <v>10</v>
      </c>
      <c r="D37">
        <v>2528</v>
      </c>
      <c r="E37">
        <v>22.46</v>
      </c>
      <c r="F37">
        <v>106.68</v>
      </c>
    </row>
    <row r="38" spans="1:6">
      <c r="A38" s="5">
        <v>2022</v>
      </c>
      <c r="B38" t="s">
        <v>17</v>
      </c>
      <c r="C38" t="s">
        <v>11</v>
      </c>
      <c r="D38">
        <v>4556</v>
      </c>
      <c r="E38">
        <v>49.18</v>
      </c>
      <c r="F38">
        <v>258.72000000000003</v>
      </c>
    </row>
    <row r="39" spans="1:6">
      <c r="A39" s="5">
        <v>2022</v>
      </c>
      <c r="B39" t="s">
        <v>17</v>
      </c>
      <c r="C39" t="s">
        <v>12</v>
      </c>
      <c r="D39">
        <v>4890</v>
      </c>
      <c r="E39">
        <v>17.010000000000002</v>
      </c>
      <c r="F39">
        <v>313.76</v>
      </c>
    </row>
    <row r="40" spans="1:6">
      <c r="A40" s="5">
        <v>2022</v>
      </c>
      <c r="B40" t="s">
        <v>17</v>
      </c>
      <c r="C40" t="s">
        <v>13</v>
      </c>
      <c r="D40">
        <v>9838</v>
      </c>
      <c r="E40">
        <v>10.69</v>
      </c>
      <c r="F40">
        <v>541.61</v>
      </c>
    </row>
    <row r="41" spans="1:6">
      <c r="A41" s="5">
        <v>2022</v>
      </c>
      <c r="B41" t="s">
        <v>17</v>
      </c>
      <c r="C41" t="s">
        <v>14</v>
      </c>
      <c r="D41">
        <v>6393</v>
      </c>
      <c r="E41">
        <v>40.53</v>
      </c>
      <c r="F41">
        <v>300.76</v>
      </c>
    </row>
    <row r="42" spans="1:6">
      <c r="A42" s="5">
        <v>2022</v>
      </c>
      <c r="B42" t="s">
        <v>17</v>
      </c>
      <c r="C42" t="s">
        <v>15</v>
      </c>
      <c r="D42">
        <v>9792</v>
      </c>
      <c r="E42">
        <v>42.28</v>
      </c>
      <c r="F42">
        <v>536.66999999999996</v>
      </c>
    </row>
    <row r="43" spans="1:6">
      <c r="A43" s="5">
        <v>2022</v>
      </c>
      <c r="B43" t="s">
        <v>17</v>
      </c>
      <c r="C43" t="s">
        <v>16</v>
      </c>
      <c r="D43">
        <v>9433</v>
      </c>
      <c r="E43">
        <v>23.85</v>
      </c>
      <c r="F43">
        <v>480.94</v>
      </c>
    </row>
    <row r="44" spans="1:6">
      <c r="A44" s="5">
        <v>2022</v>
      </c>
      <c r="B44" t="s">
        <v>17</v>
      </c>
      <c r="C44" t="s">
        <v>7</v>
      </c>
      <c r="D44">
        <v>8513</v>
      </c>
      <c r="E44">
        <v>28.59</v>
      </c>
      <c r="F44">
        <v>437.08</v>
      </c>
    </row>
    <row r="45" spans="1:6">
      <c r="A45" s="5">
        <v>2022</v>
      </c>
      <c r="B45" t="s">
        <v>17</v>
      </c>
      <c r="C45" t="s">
        <v>8</v>
      </c>
      <c r="D45">
        <v>3612</v>
      </c>
      <c r="E45">
        <v>35.99</v>
      </c>
      <c r="F45">
        <v>190.6</v>
      </c>
    </row>
    <row r="46" spans="1:6">
      <c r="A46" s="5">
        <v>2022</v>
      </c>
      <c r="B46" t="s">
        <v>17</v>
      </c>
      <c r="C46" t="s">
        <v>9</v>
      </c>
      <c r="D46">
        <v>8041</v>
      </c>
      <c r="E46">
        <v>11.92</v>
      </c>
      <c r="F46">
        <v>446.77</v>
      </c>
    </row>
    <row r="47" spans="1:6">
      <c r="A47" s="5">
        <v>2022</v>
      </c>
      <c r="B47" t="s">
        <v>17</v>
      </c>
      <c r="C47" t="s">
        <v>10</v>
      </c>
      <c r="D47">
        <v>7235</v>
      </c>
      <c r="E47">
        <v>47.97</v>
      </c>
      <c r="F47">
        <v>367.07</v>
      </c>
    </row>
    <row r="48" spans="1:6">
      <c r="A48" s="5">
        <v>2022</v>
      </c>
      <c r="B48" t="s">
        <v>17</v>
      </c>
      <c r="C48" t="s">
        <v>11</v>
      </c>
      <c r="D48">
        <v>6486</v>
      </c>
      <c r="E48">
        <v>45.47</v>
      </c>
      <c r="F48">
        <v>333.42</v>
      </c>
    </row>
    <row r="49" spans="1:6">
      <c r="A49" s="5">
        <v>2022</v>
      </c>
      <c r="B49" t="s">
        <v>17</v>
      </c>
      <c r="C49" t="s">
        <v>12</v>
      </c>
      <c r="D49">
        <v>8099</v>
      </c>
      <c r="E49">
        <v>20.440000000000001</v>
      </c>
      <c r="F49">
        <v>427.54</v>
      </c>
    </row>
    <row r="50" spans="1:6">
      <c r="A50" s="5">
        <v>2022</v>
      </c>
      <c r="B50" t="s">
        <v>17</v>
      </c>
      <c r="C50" t="s">
        <v>13</v>
      </c>
      <c r="D50">
        <v>1775</v>
      </c>
      <c r="E50">
        <v>10.61</v>
      </c>
      <c r="F50">
        <v>139.38</v>
      </c>
    </row>
    <row r="51" spans="1:6">
      <c r="A51" s="5">
        <v>2022</v>
      </c>
      <c r="B51" t="s">
        <v>17</v>
      </c>
      <c r="C51" t="s">
        <v>14</v>
      </c>
      <c r="D51">
        <v>9226</v>
      </c>
      <c r="E51">
        <v>47.34</v>
      </c>
      <c r="F51">
        <v>450.71</v>
      </c>
    </row>
    <row r="52" spans="1:6">
      <c r="A52" s="5">
        <v>2022</v>
      </c>
      <c r="B52" t="s">
        <v>17</v>
      </c>
      <c r="C52" t="s">
        <v>15</v>
      </c>
      <c r="D52">
        <v>4152</v>
      </c>
      <c r="E52">
        <v>30.04</v>
      </c>
      <c r="F52">
        <v>233.14</v>
      </c>
    </row>
    <row r="53" spans="1:6">
      <c r="A53" s="5">
        <v>2022</v>
      </c>
      <c r="B53" t="s">
        <v>17</v>
      </c>
      <c r="C53" t="s">
        <v>16</v>
      </c>
      <c r="D53">
        <v>2585</v>
      </c>
      <c r="E53">
        <v>31.58</v>
      </c>
      <c r="F53">
        <v>151.31</v>
      </c>
    </row>
    <row r="54" spans="1:6">
      <c r="A54" s="5">
        <v>2022</v>
      </c>
      <c r="B54" t="s">
        <v>17</v>
      </c>
      <c r="C54" t="s">
        <v>7</v>
      </c>
      <c r="D54">
        <v>4943</v>
      </c>
      <c r="E54">
        <v>37.36</v>
      </c>
      <c r="F54">
        <v>267.58</v>
      </c>
    </row>
    <row r="55" spans="1:6">
      <c r="A55" s="5">
        <v>2022</v>
      </c>
      <c r="B55" t="s">
        <v>17</v>
      </c>
      <c r="C55" t="s">
        <v>8</v>
      </c>
      <c r="D55">
        <v>8555</v>
      </c>
      <c r="E55">
        <v>34.630000000000003</v>
      </c>
      <c r="F55">
        <v>448.95</v>
      </c>
    </row>
    <row r="56" spans="1:6">
      <c r="A56" s="5">
        <v>2022</v>
      </c>
      <c r="B56" t="s">
        <v>17</v>
      </c>
      <c r="C56" t="s">
        <v>9</v>
      </c>
      <c r="D56">
        <v>4073</v>
      </c>
      <c r="E56">
        <v>47.76</v>
      </c>
      <c r="F56">
        <v>187.49</v>
      </c>
    </row>
    <row r="57" spans="1:6">
      <c r="A57" s="5">
        <v>2022</v>
      </c>
      <c r="B57" t="s">
        <v>17</v>
      </c>
      <c r="C57" t="s">
        <v>10</v>
      </c>
      <c r="D57">
        <v>2021</v>
      </c>
      <c r="E57">
        <v>47.77</v>
      </c>
      <c r="F57">
        <v>102.9</v>
      </c>
    </row>
    <row r="58" spans="1:6">
      <c r="A58" s="5">
        <v>2022</v>
      </c>
      <c r="B58" t="s">
        <v>17</v>
      </c>
      <c r="C58" t="s">
        <v>11</v>
      </c>
      <c r="D58">
        <v>4843</v>
      </c>
      <c r="E58">
        <v>44.69</v>
      </c>
      <c r="F58">
        <v>251.59</v>
      </c>
    </row>
    <row r="59" spans="1:6">
      <c r="A59" s="5">
        <v>2022</v>
      </c>
      <c r="B59" t="s">
        <v>17</v>
      </c>
      <c r="C59" t="s">
        <v>12</v>
      </c>
      <c r="D59">
        <v>8989</v>
      </c>
      <c r="E59">
        <v>35.46</v>
      </c>
      <c r="F59">
        <v>431.08</v>
      </c>
    </row>
    <row r="60" spans="1:6">
      <c r="A60" s="5">
        <v>2022</v>
      </c>
      <c r="B60" t="s">
        <v>17</v>
      </c>
      <c r="C60" t="s">
        <v>13</v>
      </c>
      <c r="D60">
        <v>7873</v>
      </c>
      <c r="E60">
        <v>42.04</v>
      </c>
      <c r="F60">
        <v>387.72</v>
      </c>
    </row>
    <row r="61" spans="1:6">
      <c r="A61" s="5">
        <v>2022</v>
      </c>
      <c r="B61" t="s">
        <v>17</v>
      </c>
      <c r="C61" t="s">
        <v>14</v>
      </c>
      <c r="D61">
        <v>6675</v>
      </c>
      <c r="E61">
        <v>37.090000000000003</v>
      </c>
      <c r="F61">
        <v>351.41</v>
      </c>
    </row>
    <row r="62" spans="1:6">
      <c r="A62" s="5">
        <v>2022</v>
      </c>
      <c r="B62" t="s">
        <v>17</v>
      </c>
      <c r="C62" t="s">
        <v>15</v>
      </c>
      <c r="D62">
        <v>1161</v>
      </c>
      <c r="E62">
        <v>32.93</v>
      </c>
      <c r="F62">
        <v>102.71</v>
      </c>
    </row>
    <row r="63" spans="1:6">
      <c r="A63" s="5">
        <v>2022</v>
      </c>
      <c r="B63" t="s">
        <v>18</v>
      </c>
      <c r="C63" t="s">
        <v>16</v>
      </c>
      <c r="D63">
        <v>5297</v>
      </c>
      <c r="E63">
        <v>15.14</v>
      </c>
      <c r="F63">
        <v>313.18</v>
      </c>
    </row>
    <row r="64" spans="1:6">
      <c r="A64" s="5">
        <v>2022</v>
      </c>
      <c r="B64" t="s">
        <v>18</v>
      </c>
      <c r="C64" t="s">
        <v>7</v>
      </c>
      <c r="D64">
        <v>1995</v>
      </c>
      <c r="E64">
        <v>42.45</v>
      </c>
      <c r="F64">
        <v>134.26</v>
      </c>
    </row>
    <row r="65" spans="1:6">
      <c r="A65" s="5">
        <v>2022</v>
      </c>
      <c r="B65" t="s">
        <v>18</v>
      </c>
      <c r="C65" t="s">
        <v>8</v>
      </c>
      <c r="D65">
        <v>8629</v>
      </c>
      <c r="E65">
        <v>42.83</v>
      </c>
      <c r="F65">
        <v>422.09</v>
      </c>
    </row>
    <row r="66" spans="1:6">
      <c r="A66" s="5">
        <v>2022</v>
      </c>
      <c r="B66" t="s">
        <v>18</v>
      </c>
      <c r="C66" t="s">
        <v>9</v>
      </c>
      <c r="D66">
        <v>2016</v>
      </c>
      <c r="E66">
        <v>35.04</v>
      </c>
      <c r="F66">
        <v>113.76</v>
      </c>
    </row>
    <row r="67" spans="1:6">
      <c r="A67" s="5">
        <v>2022</v>
      </c>
      <c r="B67" t="s">
        <v>18</v>
      </c>
      <c r="C67" t="s">
        <v>10</v>
      </c>
      <c r="D67">
        <v>8869</v>
      </c>
      <c r="E67">
        <v>42.82</v>
      </c>
      <c r="F67">
        <v>458.18</v>
      </c>
    </row>
    <row r="68" spans="1:6">
      <c r="A68" s="5">
        <v>2022</v>
      </c>
      <c r="B68" t="s">
        <v>18</v>
      </c>
      <c r="C68" t="s">
        <v>11</v>
      </c>
      <c r="D68">
        <v>7439</v>
      </c>
      <c r="E68">
        <v>36.06</v>
      </c>
      <c r="F68">
        <v>332.15</v>
      </c>
    </row>
    <row r="69" spans="1:6">
      <c r="A69" s="5">
        <v>2022</v>
      </c>
      <c r="B69" t="s">
        <v>18</v>
      </c>
      <c r="C69" t="s">
        <v>12</v>
      </c>
      <c r="D69">
        <v>8892</v>
      </c>
      <c r="E69">
        <v>18.27</v>
      </c>
      <c r="F69">
        <v>502.9</v>
      </c>
    </row>
    <row r="70" spans="1:6">
      <c r="A70" s="5">
        <v>2022</v>
      </c>
      <c r="B70" t="s">
        <v>18</v>
      </c>
      <c r="C70" t="s">
        <v>13</v>
      </c>
      <c r="D70">
        <v>7863</v>
      </c>
      <c r="E70">
        <v>20.96</v>
      </c>
      <c r="F70">
        <v>380.78</v>
      </c>
    </row>
    <row r="71" spans="1:6">
      <c r="A71" s="5">
        <v>2022</v>
      </c>
      <c r="B71" t="s">
        <v>18</v>
      </c>
      <c r="C71" t="s">
        <v>14</v>
      </c>
      <c r="D71">
        <v>8916</v>
      </c>
      <c r="E71">
        <v>18.579999999999998</v>
      </c>
      <c r="F71">
        <v>493.44</v>
      </c>
    </row>
    <row r="72" spans="1:6">
      <c r="A72" s="5">
        <v>2022</v>
      </c>
      <c r="B72" t="s">
        <v>18</v>
      </c>
      <c r="C72" t="s">
        <v>15</v>
      </c>
      <c r="D72">
        <v>9529</v>
      </c>
      <c r="E72">
        <v>25.09</v>
      </c>
      <c r="F72">
        <v>510.08</v>
      </c>
    </row>
    <row r="73" spans="1:6">
      <c r="A73" s="5">
        <v>2022</v>
      </c>
      <c r="B73" t="s">
        <v>18</v>
      </c>
      <c r="C73" t="s">
        <v>16</v>
      </c>
      <c r="D73">
        <v>1878</v>
      </c>
      <c r="E73">
        <v>11.56</v>
      </c>
      <c r="F73">
        <v>83.24</v>
      </c>
    </row>
    <row r="74" spans="1:6">
      <c r="A74" s="5">
        <v>2022</v>
      </c>
      <c r="B74" t="s">
        <v>18</v>
      </c>
      <c r="C74" t="s">
        <v>7</v>
      </c>
      <c r="D74">
        <v>5887</v>
      </c>
      <c r="E74">
        <v>34.729999999999997</v>
      </c>
      <c r="F74">
        <v>256.89</v>
      </c>
    </row>
    <row r="75" spans="1:6">
      <c r="A75" s="5">
        <v>2022</v>
      </c>
      <c r="B75" t="s">
        <v>18</v>
      </c>
      <c r="C75" t="s">
        <v>8</v>
      </c>
      <c r="D75">
        <v>5859</v>
      </c>
      <c r="E75">
        <v>23.46</v>
      </c>
      <c r="F75">
        <v>343.45</v>
      </c>
    </row>
    <row r="76" spans="1:6">
      <c r="A76" s="5">
        <v>2022</v>
      </c>
      <c r="B76" t="s">
        <v>18</v>
      </c>
      <c r="C76" t="s">
        <v>9</v>
      </c>
      <c r="D76">
        <v>7331</v>
      </c>
      <c r="E76">
        <v>36.229999999999997</v>
      </c>
      <c r="F76">
        <v>397.37</v>
      </c>
    </row>
    <row r="77" spans="1:6">
      <c r="A77" s="5">
        <v>2022</v>
      </c>
      <c r="B77" t="s">
        <v>18</v>
      </c>
      <c r="C77" t="s">
        <v>10</v>
      </c>
      <c r="D77">
        <v>9571</v>
      </c>
      <c r="E77">
        <v>25.42</v>
      </c>
      <c r="F77">
        <v>480.43</v>
      </c>
    </row>
    <row r="78" spans="1:6">
      <c r="A78" s="5">
        <v>2022</v>
      </c>
      <c r="B78" t="s">
        <v>18</v>
      </c>
      <c r="C78" t="s">
        <v>11</v>
      </c>
      <c r="D78">
        <v>9684</v>
      </c>
      <c r="E78">
        <v>37.26</v>
      </c>
      <c r="F78">
        <v>471.84</v>
      </c>
    </row>
    <row r="79" spans="1:6">
      <c r="A79" s="5">
        <v>2022</v>
      </c>
      <c r="B79" t="s">
        <v>18</v>
      </c>
      <c r="C79" t="s">
        <v>12</v>
      </c>
      <c r="D79">
        <v>8208</v>
      </c>
      <c r="E79">
        <v>23.62</v>
      </c>
      <c r="F79">
        <v>442.3</v>
      </c>
    </row>
    <row r="80" spans="1:6">
      <c r="A80" s="5">
        <v>2022</v>
      </c>
      <c r="B80" t="s">
        <v>18</v>
      </c>
      <c r="C80" t="s">
        <v>13</v>
      </c>
      <c r="D80">
        <v>6276</v>
      </c>
      <c r="E80">
        <v>20.43</v>
      </c>
      <c r="F80">
        <v>339.03</v>
      </c>
    </row>
    <row r="81" spans="1:6">
      <c r="A81" s="5">
        <v>2022</v>
      </c>
      <c r="B81" t="s">
        <v>18</v>
      </c>
      <c r="C81" t="s">
        <v>14</v>
      </c>
      <c r="D81">
        <v>3062</v>
      </c>
      <c r="E81">
        <v>29.84</v>
      </c>
      <c r="F81">
        <v>188.38</v>
      </c>
    </row>
    <row r="82" spans="1:6">
      <c r="A82" s="5">
        <v>2022</v>
      </c>
      <c r="B82" t="s">
        <v>18</v>
      </c>
      <c r="C82" t="s">
        <v>15</v>
      </c>
      <c r="D82">
        <v>1064</v>
      </c>
      <c r="E82">
        <v>37.72</v>
      </c>
      <c r="F82">
        <v>67.53</v>
      </c>
    </row>
    <row r="83" spans="1:6">
      <c r="A83" s="5">
        <v>2022</v>
      </c>
      <c r="B83" t="s">
        <v>18</v>
      </c>
      <c r="C83" t="s">
        <v>16</v>
      </c>
      <c r="D83">
        <v>9006</v>
      </c>
      <c r="E83">
        <v>23.93</v>
      </c>
      <c r="F83">
        <v>503.24</v>
      </c>
    </row>
    <row r="84" spans="1:6">
      <c r="A84" s="5">
        <v>2022</v>
      </c>
      <c r="B84" t="s">
        <v>18</v>
      </c>
      <c r="C84" t="s">
        <v>7</v>
      </c>
      <c r="D84">
        <v>3568</v>
      </c>
      <c r="E84">
        <v>47.47</v>
      </c>
      <c r="F84">
        <v>190.84</v>
      </c>
    </row>
    <row r="85" spans="1:6">
      <c r="A85" s="5">
        <v>2022</v>
      </c>
      <c r="B85" t="s">
        <v>18</v>
      </c>
      <c r="C85" t="s">
        <v>8</v>
      </c>
      <c r="D85">
        <v>6463</v>
      </c>
      <c r="E85">
        <v>11.57</v>
      </c>
      <c r="F85">
        <v>373.68</v>
      </c>
    </row>
    <row r="86" spans="1:6">
      <c r="A86" s="5">
        <v>2022</v>
      </c>
      <c r="B86" t="s">
        <v>18</v>
      </c>
      <c r="C86" t="s">
        <v>9</v>
      </c>
      <c r="D86">
        <v>3027</v>
      </c>
      <c r="E86">
        <v>26.72</v>
      </c>
      <c r="F86">
        <v>162.25</v>
      </c>
    </row>
    <row r="87" spans="1:6">
      <c r="A87" s="5">
        <v>2022</v>
      </c>
      <c r="B87" t="s">
        <v>18</v>
      </c>
      <c r="C87" t="s">
        <v>10</v>
      </c>
      <c r="D87">
        <v>3695</v>
      </c>
      <c r="E87">
        <v>48.7</v>
      </c>
      <c r="F87">
        <v>167.8</v>
      </c>
    </row>
    <row r="88" spans="1:6">
      <c r="A88" s="5">
        <v>2022</v>
      </c>
      <c r="B88" t="s">
        <v>18</v>
      </c>
      <c r="C88" t="s">
        <v>11</v>
      </c>
      <c r="D88">
        <v>6258</v>
      </c>
      <c r="E88">
        <v>31.92</v>
      </c>
      <c r="F88">
        <v>323.56</v>
      </c>
    </row>
    <row r="89" spans="1:6">
      <c r="A89" s="5">
        <v>2022</v>
      </c>
      <c r="B89" t="s">
        <v>18</v>
      </c>
      <c r="C89" t="s">
        <v>12</v>
      </c>
      <c r="D89">
        <v>6618</v>
      </c>
      <c r="E89">
        <v>26.94</v>
      </c>
      <c r="F89">
        <v>385.39</v>
      </c>
    </row>
    <row r="90" spans="1:6">
      <c r="A90" s="5">
        <v>2022</v>
      </c>
      <c r="B90" t="s">
        <v>18</v>
      </c>
      <c r="C90" t="s">
        <v>13</v>
      </c>
      <c r="D90">
        <v>7736</v>
      </c>
      <c r="E90">
        <v>32.74</v>
      </c>
      <c r="F90">
        <v>389.39</v>
      </c>
    </row>
    <row r="91" spans="1:6">
      <c r="A91" s="5">
        <v>2022</v>
      </c>
      <c r="B91" t="s">
        <v>18</v>
      </c>
      <c r="C91" t="s">
        <v>14</v>
      </c>
      <c r="D91">
        <v>1391</v>
      </c>
      <c r="E91">
        <v>33.04</v>
      </c>
      <c r="F91">
        <v>85.12</v>
      </c>
    </row>
    <row r="92" spans="1:6">
      <c r="A92" s="5">
        <v>2022</v>
      </c>
      <c r="B92" t="s">
        <v>18</v>
      </c>
      <c r="C92" t="s">
        <v>15</v>
      </c>
      <c r="D92">
        <v>6892</v>
      </c>
      <c r="E92">
        <v>39.270000000000003</v>
      </c>
      <c r="F92">
        <v>302.58</v>
      </c>
    </row>
    <row r="93" spans="1:6">
      <c r="A93" s="5">
        <v>2022</v>
      </c>
      <c r="B93" t="s">
        <v>18</v>
      </c>
      <c r="C93" t="s">
        <v>16</v>
      </c>
      <c r="D93">
        <v>4561</v>
      </c>
      <c r="E93">
        <v>15.11</v>
      </c>
      <c r="F93">
        <v>273.44</v>
      </c>
    </row>
    <row r="94" spans="1:6">
      <c r="A94" s="5">
        <v>2022</v>
      </c>
      <c r="B94" t="s">
        <v>19</v>
      </c>
      <c r="C94" t="s">
        <v>7</v>
      </c>
      <c r="D94">
        <v>7184</v>
      </c>
      <c r="E94">
        <v>20</v>
      </c>
      <c r="F94">
        <v>430.34</v>
      </c>
    </row>
    <row r="95" spans="1:6">
      <c r="A95" s="5">
        <v>2022</v>
      </c>
      <c r="B95" t="s">
        <v>19</v>
      </c>
      <c r="C95" t="s">
        <v>8</v>
      </c>
      <c r="D95">
        <v>4099</v>
      </c>
      <c r="E95">
        <v>33.22</v>
      </c>
      <c r="F95">
        <v>196.41</v>
      </c>
    </row>
    <row r="96" spans="1:6">
      <c r="A96" s="5">
        <v>2022</v>
      </c>
      <c r="B96" t="s">
        <v>19</v>
      </c>
      <c r="C96" t="s">
        <v>9</v>
      </c>
      <c r="D96">
        <v>7278</v>
      </c>
      <c r="E96">
        <v>44.68</v>
      </c>
      <c r="F96">
        <v>423.77</v>
      </c>
    </row>
    <row r="97" spans="1:6">
      <c r="A97" s="5">
        <v>2022</v>
      </c>
      <c r="B97" t="s">
        <v>19</v>
      </c>
      <c r="C97" t="s">
        <v>10</v>
      </c>
      <c r="D97">
        <v>9392</v>
      </c>
      <c r="E97">
        <v>32.47</v>
      </c>
      <c r="F97">
        <v>484.28</v>
      </c>
    </row>
    <row r="98" spans="1:6">
      <c r="A98" s="5">
        <v>2022</v>
      </c>
      <c r="B98" t="s">
        <v>19</v>
      </c>
      <c r="C98" t="s">
        <v>11</v>
      </c>
      <c r="D98">
        <v>4104</v>
      </c>
      <c r="E98">
        <v>19.54</v>
      </c>
      <c r="F98">
        <v>180.29</v>
      </c>
    </row>
    <row r="99" spans="1:6">
      <c r="A99" s="5">
        <v>2022</v>
      </c>
      <c r="B99" t="s">
        <v>19</v>
      </c>
      <c r="C99" t="s">
        <v>12</v>
      </c>
      <c r="D99">
        <v>8215</v>
      </c>
      <c r="E99">
        <v>37.19</v>
      </c>
      <c r="F99">
        <v>408.41</v>
      </c>
    </row>
    <row r="100" spans="1:6">
      <c r="A100" s="5">
        <v>2022</v>
      </c>
      <c r="B100" t="s">
        <v>19</v>
      </c>
      <c r="C100" t="s">
        <v>13</v>
      </c>
      <c r="D100">
        <v>3454</v>
      </c>
      <c r="E100">
        <v>39.6</v>
      </c>
      <c r="F100">
        <v>201.79</v>
      </c>
    </row>
    <row r="101" spans="1:6">
      <c r="A101" s="5">
        <v>2022</v>
      </c>
      <c r="B101" t="s">
        <v>19</v>
      </c>
      <c r="C101" t="s">
        <v>14</v>
      </c>
      <c r="D101">
        <v>9996</v>
      </c>
      <c r="E101">
        <v>19.53</v>
      </c>
      <c r="F101">
        <v>566.35</v>
      </c>
    </row>
    <row r="102" spans="1:6">
      <c r="A102" s="5">
        <v>2022</v>
      </c>
      <c r="B102" t="s">
        <v>19</v>
      </c>
      <c r="C102" t="s">
        <v>15</v>
      </c>
      <c r="D102">
        <v>3731</v>
      </c>
      <c r="E102">
        <v>25.11</v>
      </c>
      <c r="F102">
        <v>220.78</v>
      </c>
    </row>
    <row r="103" spans="1:6">
      <c r="A103" s="5">
        <v>2022</v>
      </c>
      <c r="B103" t="s">
        <v>19</v>
      </c>
      <c r="C103" t="s">
        <v>16</v>
      </c>
      <c r="D103">
        <v>9154</v>
      </c>
      <c r="E103">
        <v>31.37</v>
      </c>
      <c r="F103">
        <v>501.4</v>
      </c>
    </row>
    <row r="104" spans="1:6">
      <c r="A104" s="5">
        <v>2022</v>
      </c>
      <c r="B104" t="s">
        <v>19</v>
      </c>
      <c r="C104" t="s">
        <v>7</v>
      </c>
      <c r="D104">
        <v>6056</v>
      </c>
      <c r="E104">
        <v>29.86</v>
      </c>
      <c r="F104">
        <v>293.41000000000003</v>
      </c>
    </row>
    <row r="105" spans="1:6">
      <c r="A105" s="5">
        <v>2022</v>
      </c>
      <c r="B105" t="s">
        <v>19</v>
      </c>
      <c r="C105" t="s">
        <v>8</v>
      </c>
      <c r="D105">
        <v>9110</v>
      </c>
      <c r="E105">
        <v>25.58</v>
      </c>
      <c r="F105">
        <v>461.19</v>
      </c>
    </row>
    <row r="106" spans="1:6">
      <c r="A106" s="5">
        <v>2022</v>
      </c>
      <c r="B106" t="s">
        <v>19</v>
      </c>
      <c r="C106" t="s">
        <v>9</v>
      </c>
      <c r="D106">
        <v>4840</v>
      </c>
      <c r="E106">
        <v>21.91</v>
      </c>
      <c r="F106">
        <v>232.12</v>
      </c>
    </row>
    <row r="107" spans="1:6">
      <c r="A107" s="5">
        <v>2022</v>
      </c>
      <c r="B107" t="s">
        <v>19</v>
      </c>
      <c r="C107" t="s">
        <v>10</v>
      </c>
      <c r="D107">
        <v>2028</v>
      </c>
      <c r="E107">
        <v>14</v>
      </c>
      <c r="F107">
        <v>122.5</v>
      </c>
    </row>
    <row r="108" spans="1:6">
      <c r="A108" s="5">
        <v>2022</v>
      </c>
      <c r="B108" t="s">
        <v>19</v>
      </c>
      <c r="C108" t="s">
        <v>11</v>
      </c>
      <c r="D108">
        <v>8385</v>
      </c>
      <c r="E108">
        <v>12.14</v>
      </c>
      <c r="F108">
        <v>469.92</v>
      </c>
    </row>
    <row r="109" spans="1:6">
      <c r="A109" s="5">
        <v>2022</v>
      </c>
      <c r="B109" t="s">
        <v>19</v>
      </c>
      <c r="C109" t="s">
        <v>12</v>
      </c>
      <c r="D109">
        <v>1502</v>
      </c>
      <c r="E109">
        <v>48.34</v>
      </c>
      <c r="F109">
        <v>71.34</v>
      </c>
    </row>
    <row r="110" spans="1:6">
      <c r="A110" s="5">
        <v>2022</v>
      </c>
      <c r="B110" t="s">
        <v>19</v>
      </c>
      <c r="C110" t="s">
        <v>13</v>
      </c>
      <c r="D110">
        <v>7910</v>
      </c>
      <c r="E110">
        <v>43.89</v>
      </c>
      <c r="F110">
        <v>410.19</v>
      </c>
    </row>
    <row r="111" spans="1:6">
      <c r="A111" s="5">
        <v>2022</v>
      </c>
      <c r="B111" t="s">
        <v>19</v>
      </c>
      <c r="C111" t="s">
        <v>14</v>
      </c>
      <c r="D111">
        <v>7938</v>
      </c>
      <c r="E111">
        <v>24.2</v>
      </c>
      <c r="F111">
        <v>399.13</v>
      </c>
    </row>
    <row r="112" spans="1:6">
      <c r="A112" s="5">
        <v>2022</v>
      </c>
      <c r="B112" t="s">
        <v>19</v>
      </c>
      <c r="C112" t="s">
        <v>15</v>
      </c>
      <c r="D112">
        <v>5488</v>
      </c>
      <c r="E112">
        <v>48.27</v>
      </c>
      <c r="F112">
        <v>248.96</v>
      </c>
    </row>
    <row r="113" spans="1:6">
      <c r="A113" s="5">
        <v>2022</v>
      </c>
      <c r="B113" t="s">
        <v>19</v>
      </c>
      <c r="C113" t="s">
        <v>16</v>
      </c>
      <c r="D113">
        <v>1206</v>
      </c>
      <c r="E113">
        <v>37.07</v>
      </c>
      <c r="F113">
        <v>69.91</v>
      </c>
    </row>
    <row r="114" spans="1:6">
      <c r="A114" s="5">
        <v>2022</v>
      </c>
      <c r="B114" t="s">
        <v>19</v>
      </c>
      <c r="C114" t="s">
        <v>7</v>
      </c>
      <c r="D114">
        <v>6134</v>
      </c>
      <c r="E114">
        <v>29.3</v>
      </c>
      <c r="F114">
        <v>309.49</v>
      </c>
    </row>
    <row r="115" spans="1:6">
      <c r="A115" s="5">
        <v>2022</v>
      </c>
      <c r="B115" t="s">
        <v>19</v>
      </c>
      <c r="C115" t="s">
        <v>8</v>
      </c>
      <c r="D115">
        <v>6977</v>
      </c>
      <c r="E115">
        <v>29.72</v>
      </c>
      <c r="F115">
        <v>389.22</v>
      </c>
    </row>
    <row r="116" spans="1:6">
      <c r="A116" s="5">
        <v>2022</v>
      </c>
      <c r="B116" t="s">
        <v>19</v>
      </c>
      <c r="C116" t="s">
        <v>9</v>
      </c>
      <c r="D116">
        <v>8721</v>
      </c>
      <c r="E116">
        <v>13.33</v>
      </c>
      <c r="F116">
        <v>457.5</v>
      </c>
    </row>
    <row r="117" spans="1:6">
      <c r="A117" s="5">
        <v>2022</v>
      </c>
      <c r="B117" t="s">
        <v>19</v>
      </c>
      <c r="C117" t="s">
        <v>10</v>
      </c>
      <c r="D117">
        <v>8035</v>
      </c>
      <c r="E117">
        <v>13.67</v>
      </c>
      <c r="F117">
        <v>425.44</v>
      </c>
    </row>
    <row r="118" spans="1:6">
      <c r="A118" s="5">
        <v>2022</v>
      </c>
      <c r="B118" t="s">
        <v>19</v>
      </c>
      <c r="C118" t="s">
        <v>11</v>
      </c>
      <c r="D118">
        <v>2484</v>
      </c>
      <c r="E118">
        <v>34.1</v>
      </c>
      <c r="F118">
        <v>141.66</v>
      </c>
    </row>
    <row r="119" spans="1:6">
      <c r="A119" s="5">
        <v>2022</v>
      </c>
      <c r="B119" t="s">
        <v>19</v>
      </c>
      <c r="C119" t="s">
        <v>12</v>
      </c>
      <c r="D119">
        <v>8858</v>
      </c>
      <c r="E119">
        <v>32.15</v>
      </c>
      <c r="F119">
        <v>446.54</v>
      </c>
    </row>
    <row r="120" spans="1:6">
      <c r="A120" s="5">
        <v>2022</v>
      </c>
      <c r="B120" t="s">
        <v>19</v>
      </c>
      <c r="C120" t="s">
        <v>13</v>
      </c>
      <c r="D120">
        <v>1863</v>
      </c>
      <c r="E120">
        <v>18.510000000000002</v>
      </c>
      <c r="F120">
        <v>96.24</v>
      </c>
    </row>
    <row r="121" spans="1:6">
      <c r="A121" s="5">
        <v>2022</v>
      </c>
      <c r="B121" t="s">
        <v>19</v>
      </c>
      <c r="C121" t="s">
        <v>14</v>
      </c>
      <c r="D121">
        <v>3790</v>
      </c>
      <c r="E121">
        <v>47.85</v>
      </c>
      <c r="F121">
        <v>160.1</v>
      </c>
    </row>
    <row r="122" spans="1:6">
      <c r="A122" s="5">
        <v>2022</v>
      </c>
      <c r="B122" t="s">
        <v>19</v>
      </c>
      <c r="C122" t="s">
        <v>15</v>
      </c>
      <c r="D122">
        <v>8408</v>
      </c>
      <c r="E122">
        <v>41.25</v>
      </c>
      <c r="F122">
        <v>431.65</v>
      </c>
    </row>
    <row r="123" spans="1:6">
      <c r="A123" s="5">
        <v>2022</v>
      </c>
      <c r="B123" t="s">
        <v>19</v>
      </c>
      <c r="C123" t="s">
        <v>16</v>
      </c>
      <c r="D123">
        <v>9755</v>
      </c>
      <c r="E123">
        <v>14.54</v>
      </c>
      <c r="F123">
        <v>493.13</v>
      </c>
    </row>
    <row r="124" spans="1:6">
      <c r="A124" s="5">
        <v>2022</v>
      </c>
      <c r="B124" t="s">
        <v>20</v>
      </c>
      <c r="C124" t="s">
        <v>7</v>
      </c>
      <c r="D124">
        <v>6116</v>
      </c>
      <c r="E124">
        <v>47.24</v>
      </c>
      <c r="F124">
        <v>327.06</v>
      </c>
    </row>
    <row r="125" spans="1:6">
      <c r="A125" s="5">
        <v>2022</v>
      </c>
      <c r="B125" t="s">
        <v>20</v>
      </c>
      <c r="C125" t="s">
        <v>8</v>
      </c>
      <c r="D125">
        <v>7019</v>
      </c>
      <c r="E125">
        <v>48.97</v>
      </c>
      <c r="F125">
        <v>328.38</v>
      </c>
    </row>
    <row r="126" spans="1:6">
      <c r="A126" s="5">
        <v>2022</v>
      </c>
      <c r="B126" t="s">
        <v>20</v>
      </c>
      <c r="C126" t="s">
        <v>9</v>
      </c>
      <c r="D126">
        <v>2757</v>
      </c>
      <c r="E126">
        <v>49.84</v>
      </c>
      <c r="F126">
        <v>140.37</v>
      </c>
    </row>
    <row r="127" spans="1:6">
      <c r="A127" s="5">
        <v>2022</v>
      </c>
      <c r="B127" t="s">
        <v>20</v>
      </c>
      <c r="C127" t="s">
        <v>10</v>
      </c>
      <c r="D127">
        <v>8574</v>
      </c>
      <c r="E127">
        <v>12.23</v>
      </c>
      <c r="F127">
        <v>451.41</v>
      </c>
    </row>
    <row r="128" spans="1:6">
      <c r="A128" s="5">
        <v>2022</v>
      </c>
      <c r="B128" t="s">
        <v>20</v>
      </c>
      <c r="C128" t="s">
        <v>11</v>
      </c>
      <c r="D128">
        <v>7374</v>
      </c>
      <c r="E128">
        <v>39.479999999999997</v>
      </c>
      <c r="F128">
        <v>353.02</v>
      </c>
    </row>
    <row r="129" spans="1:6">
      <c r="A129" s="5">
        <v>2022</v>
      </c>
      <c r="B129" t="s">
        <v>20</v>
      </c>
      <c r="C129" t="s">
        <v>12</v>
      </c>
      <c r="D129">
        <v>7892</v>
      </c>
      <c r="E129">
        <v>31.84</v>
      </c>
      <c r="F129">
        <v>411.32</v>
      </c>
    </row>
    <row r="130" spans="1:6">
      <c r="A130" s="5">
        <v>2022</v>
      </c>
      <c r="B130" t="s">
        <v>20</v>
      </c>
      <c r="C130" t="s">
        <v>13</v>
      </c>
      <c r="D130">
        <v>2678</v>
      </c>
      <c r="E130">
        <v>38.229999999999997</v>
      </c>
      <c r="F130">
        <v>159.06</v>
      </c>
    </row>
    <row r="131" spans="1:6">
      <c r="A131" s="5">
        <v>2022</v>
      </c>
      <c r="B131" t="s">
        <v>20</v>
      </c>
      <c r="C131" t="s">
        <v>14</v>
      </c>
      <c r="D131">
        <v>4242</v>
      </c>
      <c r="E131">
        <v>48.75</v>
      </c>
      <c r="F131">
        <v>198.66</v>
      </c>
    </row>
    <row r="132" spans="1:6">
      <c r="A132" s="5">
        <v>2022</v>
      </c>
      <c r="B132" t="s">
        <v>20</v>
      </c>
      <c r="C132" t="s">
        <v>15</v>
      </c>
      <c r="D132">
        <v>5636</v>
      </c>
      <c r="E132">
        <v>37.520000000000003</v>
      </c>
      <c r="F132">
        <v>285.47000000000003</v>
      </c>
    </row>
    <row r="133" spans="1:6">
      <c r="A133" s="5">
        <v>2022</v>
      </c>
      <c r="B133" t="s">
        <v>20</v>
      </c>
      <c r="C133" t="s">
        <v>16</v>
      </c>
      <c r="D133">
        <v>2059</v>
      </c>
      <c r="E133">
        <v>43.48</v>
      </c>
      <c r="F133">
        <v>116.92</v>
      </c>
    </row>
    <row r="134" spans="1:6">
      <c r="A134" s="5">
        <v>2022</v>
      </c>
      <c r="B134" t="s">
        <v>20</v>
      </c>
      <c r="C134" t="s">
        <v>7</v>
      </c>
      <c r="D134">
        <v>7668</v>
      </c>
      <c r="E134">
        <v>44.67</v>
      </c>
      <c r="F134">
        <v>396.6</v>
      </c>
    </row>
    <row r="135" spans="1:6">
      <c r="A135" s="5">
        <v>2022</v>
      </c>
      <c r="B135" t="s">
        <v>20</v>
      </c>
      <c r="C135" t="s">
        <v>8</v>
      </c>
      <c r="D135">
        <v>4157</v>
      </c>
      <c r="E135">
        <v>43.54</v>
      </c>
      <c r="F135">
        <v>204.83</v>
      </c>
    </row>
    <row r="136" spans="1:6">
      <c r="A136" s="5">
        <v>2022</v>
      </c>
      <c r="B136" t="s">
        <v>20</v>
      </c>
      <c r="C136" t="s">
        <v>9</v>
      </c>
      <c r="D136">
        <v>6915</v>
      </c>
      <c r="E136">
        <v>27.04</v>
      </c>
      <c r="F136">
        <v>354.43</v>
      </c>
    </row>
    <row r="137" spans="1:6">
      <c r="A137" s="5">
        <v>2022</v>
      </c>
      <c r="B137" t="s">
        <v>20</v>
      </c>
      <c r="C137" t="s">
        <v>10</v>
      </c>
      <c r="D137">
        <v>3693</v>
      </c>
      <c r="E137">
        <v>18.899999999999999</v>
      </c>
      <c r="F137">
        <v>213.62</v>
      </c>
    </row>
    <row r="138" spans="1:6">
      <c r="A138" s="5">
        <v>2022</v>
      </c>
      <c r="B138" t="s">
        <v>20</v>
      </c>
      <c r="C138" t="s">
        <v>11</v>
      </c>
      <c r="D138">
        <v>4627</v>
      </c>
      <c r="E138">
        <v>25.87</v>
      </c>
      <c r="F138">
        <v>246.49</v>
      </c>
    </row>
    <row r="139" spans="1:6">
      <c r="A139" s="5">
        <v>2022</v>
      </c>
      <c r="B139" t="s">
        <v>20</v>
      </c>
      <c r="C139" t="s">
        <v>12</v>
      </c>
      <c r="D139">
        <v>6450</v>
      </c>
      <c r="E139">
        <v>45.68</v>
      </c>
      <c r="F139">
        <v>323.95</v>
      </c>
    </row>
    <row r="140" spans="1:6">
      <c r="A140" s="5">
        <v>2022</v>
      </c>
      <c r="B140" t="s">
        <v>20</v>
      </c>
      <c r="C140" t="s">
        <v>13</v>
      </c>
      <c r="D140">
        <v>2663</v>
      </c>
      <c r="E140">
        <v>15.86</v>
      </c>
      <c r="F140">
        <v>140.22999999999999</v>
      </c>
    </row>
    <row r="141" spans="1:6">
      <c r="A141" s="5">
        <v>2022</v>
      </c>
      <c r="B141" t="s">
        <v>20</v>
      </c>
      <c r="C141" t="s">
        <v>14</v>
      </c>
      <c r="D141">
        <v>6592</v>
      </c>
      <c r="E141">
        <v>30.53</v>
      </c>
      <c r="F141">
        <v>348.5</v>
      </c>
    </row>
    <row r="142" spans="1:6">
      <c r="A142" s="5">
        <v>2022</v>
      </c>
      <c r="B142" t="s">
        <v>20</v>
      </c>
      <c r="C142" t="s">
        <v>15</v>
      </c>
      <c r="D142">
        <v>8392</v>
      </c>
      <c r="E142">
        <v>19.329999999999998</v>
      </c>
      <c r="F142">
        <v>432.04</v>
      </c>
    </row>
    <row r="143" spans="1:6">
      <c r="A143" s="5">
        <v>2022</v>
      </c>
      <c r="B143" t="s">
        <v>20</v>
      </c>
      <c r="C143" t="s">
        <v>16</v>
      </c>
      <c r="D143">
        <v>2306</v>
      </c>
      <c r="E143">
        <v>33.25</v>
      </c>
      <c r="F143">
        <v>143.52000000000001</v>
      </c>
    </row>
    <row r="144" spans="1:6">
      <c r="A144" s="5">
        <v>2022</v>
      </c>
      <c r="B144" t="s">
        <v>20</v>
      </c>
      <c r="C144" t="s">
        <v>7</v>
      </c>
      <c r="D144">
        <v>7776</v>
      </c>
      <c r="E144">
        <v>44.53</v>
      </c>
      <c r="F144">
        <v>371.92</v>
      </c>
    </row>
    <row r="145" spans="1:6">
      <c r="A145" s="5">
        <v>2022</v>
      </c>
      <c r="B145" t="s">
        <v>20</v>
      </c>
      <c r="C145" t="s">
        <v>8</v>
      </c>
      <c r="D145">
        <v>6864</v>
      </c>
      <c r="E145">
        <v>45.21</v>
      </c>
      <c r="F145">
        <v>325.83999999999997</v>
      </c>
    </row>
    <row r="146" spans="1:6">
      <c r="A146" s="5">
        <v>2022</v>
      </c>
      <c r="B146" t="s">
        <v>20</v>
      </c>
      <c r="C146" t="s">
        <v>9</v>
      </c>
      <c r="D146">
        <v>8526</v>
      </c>
      <c r="E146">
        <v>19.47</v>
      </c>
      <c r="F146">
        <v>461.85</v>
      </c>
    </row>
    <row r="147" spans="1:6">
      <c r="A147" s="5">
        <v>2022</v>
      </c>
      <c r="B147" t="s">
        <v>20</v>
      </c>
      <c r="C147" t="s">
        <v>10</v>
      </c>
      <c r="D147">
        <v>9901</v>
      </c>
      <c r="E147">
        <v>46.31</v>
      </c>
      <c r="F147">
        <v>489.76</v>
      </c>
    </row>
    <row r="148" spans="1:6">
      <c r="A148" s="5">
        <v>2022</v>
      </c>
      <c r="B148" t="s">
        <v>20</v>
      </c>
      <c r="C148" t="s">
        <v>11</v>
      </c>
      <c r="D148">
        <v>6575</v>
      </c>
      <c r="E148">
        <v>33.68</v>
      </c>
      <c r="F148">
        <v>383.87</v>
      </c>
    </row>
    <row r="149" spans="1:6">
      <c r="A149" s="5">
        <v>2022</v>
      </c>
      <c r="B149" t="s">
        <v>20</v>
      </c>
      <c r="C149" t="s">
        <v>12</v>
      </c>
      <c r="D149">
        <v>6530</v>
      </c>
      <c r="E149">
        <v>24.01</v>
      </c>
      <c r="F149">
        <v>315.10000000000002</v>
      </c>
    </row>
    <row r="150" spans="1:6">
      <c r="A150" s="5">
        <v>2022</v>
      </c>
      <c r="B150" t="s">
        <v>20</v>
      </c>
      <c r="C150" t="s">
        <v>13</v>
      </c>
      <c r="D150">
        <v>5413</v>
      </c>
      <c r="E150">
        <v>38.33</v>
      </c>
      <c r="F150">
        <v>276.85000000000002</v>
      </c>
    </row>
    <row r="151" spans="1:6">
      <c r="A151" s="5">
        <v>2022</v>
      </c>
      <c r="B151" t="s">
        <v>20</v>
      </c>
      <c r="C151" t="s">
        <v>14</v>
      </c>
      <c r="D151">
        <v>4748</v>
      </c>
      <c r="E151">
        <v>29.27</v>
      </c>
      <c r="F151">
        <v>274.87</v>
      </c>
    </row>
    <row r="152" spans="1:6">
      <c r="A152" s="5">
        <v>2022</v>
      </c>
      <c r="B152" t="s">
        <v>20</v>
      </c>
      <c r="C152" t="s">
        <v>15</v>
      </c>
      <c r="D152">
        <v>1663</v>
      </c>
      <c r="E152">
        <v>25.12</v>
      </c>
      <c r="F152">
        <v>91.44</v>
      </c>
    </row>
    <row r="153" spans="1:6">
      <c r="A153" s="5">
        <v>2022</v>
      </c>
      <c r="B153" t="s">
        <v>20</v>
      </c>
      <c r="C153" t="s">
        <v>16</v>
      </c>
      <c r="D153">
        <v>2998</v>
      </c>
      <c r="E153">
        <v>38.200000000000003</v>
      </c>
      <c r="F153">
        <v>135.84</v>
      </c>
    </row>
    <row r="154" spans="1:6">
      <c r="A154" s="5">
        <v>2022</v>
      </c>
      <c r="B154" t="s">
        <v>20</v>
      </c>
      <c r="C154" t="s">
        <v>7</v>
      </c>
      <c r="D154">
        <v>8994</v>
      </c>
      <c r="E154">
        <v>19.95</v>
      </c>
      <c r="F154">
        <v>458.34</v>
      </c>
    </row>
    <row r="155" spans="1:6">
      <c r="A155" s="5">
        <v>2022</v>
      </c>
      <c r="B155" t="s">
        <v>21</v>
      </c>
      <c r="C155" t="s">
        <v>8</v>
      </c>
      <c r="D155">
        <v>2495</v>
      </c>
      <c r="E155">
        <v>23.21</v>
      </c>
      <c r="F155">
        <v>114.66</v>
      </c>
    </row>
    <row r="156" spans="1:6">
      <c r="A156" s="5">
        <v>2022</v>
      </c>
      <c r="B156" t="s">
        <v>21</v>
      </c>
      <c r="C156" t="s">
        <v>9</v>
      </c>
      <c r="D156">
        <v>4304</v>
      </c>
      <c r="E156">
        <v>27.38</v>
      </c>
      <c r="F156">
        <v>259.33999999999997</v>
      </c>
    </row>
    <row r="157" spans="1:6">
      <c r="A157" s="5">
        <v>2022</v>
      </c>
      <c r="B157" t="s">
        <v>21</v>
      </c>
      <c r="C157" t="s">
        <v>10</v>
      </c>
      <c r="D157">
        <v>4763</v>
      </c>
      <c r="E157">
        <v>20.149999999999999</v>
      </c>
      <c r="F157">
        <v>257.38</v>
      </c>
    </row>
    <row r="158" spans="1:6">
      <c r="A158" s="5">
        <v>2022</v>
      </c>
      <c r="B158" t="s">
        <v>21</v>
      </c>
      <c r="C158" t="s">
        <v>11</v>
      </c>
      <c r="D158">
        <v>6232</v>
      </c>
      <c r="E158">
        <v>26.21</v>
      </c>
      <c r="F158">
        <v>321.19</v>
      </c>
    </row>
    <row r="159" spans="1:6">
      <c r="A159" s="5">
        <v>2022</v>
      </c>
      <c r="B159" t="s">
        <v>21</v>
      </c>
      <c r="C159" t="s">
        <v>12</v>
      </c>
      <c r="D159">
        <v>2853</v>
      </c>
      <c r="E159">
        <v>32.86</v>
      </c>
      <c r="F159">
        <v>110.74</v>
      </c>
    </row>
    <row r="160" spans="1:6">
      <c r="A160" s="5">
        <v>2022</v>
      </c>
      <c r="B160" t="s">
        <v>21</v>
      </c>
      <c r="C160" t="s">
        <v>13</v>
      </c>
      <c r="D160">
        <v>7585</v>
      </c>
      <c r="E160">
        <v>39.64</v>
      </c>
      <c r="F160">
        <v>353.01</v>
      </c>
    </row>
    <row r="161" spans="1:6">
      <c r="A161" s="5">
        <v>2022</v>
      </c>
      <c r="B161" t="s">
        <v>21</v>
      </c>
      <c r="C161" t="s">
        <v>14</v>
      </c>
      <c r="D161">
        <v>2291</v>
      </c>
      <c r="E161">
        <v>40.69</v>
      </c>
      <c r="F161">
        <v>145.03</v>
      </c>
    </row>
    <row r="162" spans="1:6">
      <c r="A162" s="5">
        <v>2022</v>
      </c>
      <c r="B162" t="s">
        <v>21</v>
      </c>
      <c r="C162" t="s">
        <v>15</v>
      </c>
      <c r="D162">
        <v>4581</v>
      </c>
      <c r="E162">
        <v>42.91</v>
      </c>
      <c r="F162">
        <v>233.62</v>
      </c>
    </row>
    <row r="163" spans="1:6">
      <c r="A163" s="5">
        <v>2022</v>
      </c>
      <c r="B163" t="s">
        <v>21</v>
      </c>
      <c r="C163" t="s">
        <v>16</v>
      </c>
      <c r="D163">
        <v>8554</v>
      </c>
      <c r="E163">
        <v>39.770000000000003</v>
      </c>
      <c r="F163">
        <v>453.31</v>
      </c>
    </row>
    <row r="164" spans="1:6">
      <c r="A164" s="5">
        <v>2022</v>
      </c>
      <c r="B164" t="s">
        <v>21</v>
      </c>
      <c r="C164" t="s">
        <v>7</v>
      </c>
      <c r="D164">
        <v>8280</v>
      </c>
      <c r="E164">
        <v>37.24</v>
      </c>
      <c r="F164">
        <v>440.11</v>
      </c>
    </row>
    <row r="165" spans="1:6">
      <c r="A165" s="5">
        <v>2022</v>
      </c>
      <c r="B165" t="s">
        <v>21</v>
      </c>
      <c r="C165" t="s">
        <v>8</v>
      </c>
      <c r="D165">
        <v>2636</v>
      </c>
      <c r="E165">
        <v>19.5</v>
      </c>
      <c r="F165">
        <v>138.38999999999999</v>
      </c>
    </row>
    <row r="166" spans="1:6">
      <c r="A166" s="5">
        <v>2022</v>
      </c>
      <c r="B166" t="s">
        <v>21</v>
      </c>
      <c r="C166" t="s">
        <v>9</v>
      </c>
      <c r="D166">
        <v>4696</v>
      </c>
      <c r="E166">
        <v>26.01</v>
      </c>
      <c r="F166">
        <v>302.19</v>
      </c>
    </row>
    <row r="167" spans="1:6">
      <c r="A167" s="5">
        <v>2022</v>
      </c>
      <c r="B167" t="s">
        <v>21</v>
      </c>
      <c r="C167" t="s">
        <v>10</v>
      </c>
      <c r="D167">
        <v>1698</v>
      </c>
      <c r="E167">
        <v>29.11</v>
      </c>
      <c r="F167">
        <v>138.96</v>
      </c>
    </row>
    <row r="168" spans="1:6">
      <c r="A168" s="5">
        <v>2022</v>
      </c>
      <c r="B168" t="s">
        <v>21</v>
      </c>
      <c r="C168" t="s">
        <v>11</v>
      </c>
      <c r="D168">
        <v>5737</v>
      </c>
      <c r="E168">
        <v>13.32</v>
      </c>
      <c r="F168">
        <v>309.60000000000002</v>
      </c>
    </row>
    <row r="169" spans="1:6">
      <c r="A169" s="5">
        <v>2022</v>
      </c>
      <c r="B169" t="s">
        <v>21</v>
      </c>
      <c r="C169" t="s">
        <v>12</v>
      </c>
      <c r="D169">
        <v>1854</v>
      </c>
      <c r="E169">
        <v>31.13</v>
      </c>
      <c r="F169">
        <v>33.97</v>
      </c>
    </row>
    <row r="170" spans="1:6">
      <c r="A170" s="5">
        <v>2022</v>
      </c>
      <c r="B170" t="s">
        <v>21</v>
      </c>
      <c r="C170" t="s">
        <v>13</v>
      </c>
      <c r="D170">
        <v>9164</v>
      </c>
      <c r="E170">
        <v>27.45</v>
      </c>
      <c r="F170">
        <v>468.13</v>
      </c>
    </row>
    <row r="171" spans="1:6">
      <c r="A171" s="5">
        <v>2022</v>
      </c>
      <c r="B171" t="s">
        <v>21</v>
      </c>
      <c r="C171" t="s">
        <v>14</v>
      </c>
      <c r="D171">
        <v>6855</v>
      </c>
      <c r="E171">
        <v>42.08</v>
      </c>
      <c r="F171">
        <v>347.01</v>
      </c>
    </row>
    <row r="172" spans="1:6">
      <c r="A172" s="5">
        <v>2022</v>
      </c>
      <c r="B172" t="s">
        <v>21</v>
      </c>
      <c r="C172" t="s">
        <v>15</v>
      </c>
      <c r="D172">
        <v>8392</v>
      </c>
      <c r="E172">
        <v>49.12</v>
      </c>
      <c r="F172">
        <v>399.31</v>
      </c>
    </row>
    <row r="173" spans="1:6">
      <c r="A173" s="5">
        <v>2022</v>
      </c>
      <c r="B173" t="s">
        <v>21</v>
      </c>
      <c r="C173" t="s">
        <v>16</v>
      </c>
      <c r="D173">
        <v>7528</v>
      </c>
      <c r="E173">
        <v>32.24</v>
      </c>
      <c r="F173">
        <v>383.28</v>
      </c>
    </row>
    <row r="174" spans="1:6">
      <c r="A174" s="5">
        <v>2022</v>
      </c>
      <c r="B174" t="s">
        <v>21</v>
      </c>
      <c r="C174" t="s">
        <v>7</v>
      </c>
      <c r="D174">
        <v>6249</v>
      </c>
      <c r="E174">
        <v>22.91</v>
      </c>
      <c r="F174">
        <v>318.39</v>
      </c>
    </row>
    <row r="175" spans="1:6">
      <c r="A175" s="5">
        <v>2022</v>
      </c>
      <c r="B175" t="s">
        <v>21</v>
      </c>
      <c r="C175" t="s">
        <v>8</v>
      </c>
      <c r="D175">
        <v>6172</v>
      </c>
      <c r="E175">
        <v>11.74</v>
      </c>
      <c r="F175">
        <v>362.95</v>
      </c>
    </row>
    <row r="176" spans="1:6">
      <c r="A176" s="5">
        <v>2022</v>
      </c>
      <c r="B176" t="s">
        <v>21</v>
      </c>
      <c r="C176" t="s">
        <v>9</v>
      </c>
      <c r="D176">
        <v>2707</v>
      </c>
      <c r="E176">
        <v>46.99</v>
      </c>
      <c r="F176">
        <v>130.24</v>
      </c>
    </row>
    <row r="177" spans="1:6">
      <c r="A177" s="5">
        <v>2022</v>
      </c>
      <c r="B177" t="s">
        <v>21</v>
      </c>
      <c r="C177" t="s">
        <v>10</v>
      </c>
      <c r="D177">
        <v>6791</v>
      </c>
      <c r="E177">
        <v>46.76</v>
      </c>
      <c r="F177">
        <v>352.46</v>
      </c>
    </row>
    <row r="178" spans="1:6">
      <c r="A178" s="5">
        <v>2022</v>
      </c>
      <c r="B178" t="s">
        <v>21</v>
      </c>
      <c r="C178" t="s">
        <v>11</v>
      </c>
      <c r="D178">
        <v>6535</v>
      </c>
      <c r="E178">
        <v>20.12</v>
      </c>
      <c r="F178">
        <v>377.05</v>
      </c>
    </row>
    <row r="179" spans="1:6">
      <c r="A179" s="5">
        <v>2022</v>
      </c>
      <c r="B179" t="s">
        <v>21</v>
      </c>
      <c r="C179" t="s">
        <v>12</v>
      </c>
      <c r="D179">
        <v>5931</v>
      </c>
      <c r="E179">
        <v>37.82</v>
      </c>
      <c r="F179">
        <v>257.68</v>
      </c>
    </row>
    <row r="180" spans="1:6">
      <c r="A180" s="5">
        <v>2022</v>
      </c>
      <c r="B180" t="s">
        <v>21</v>
      </c>
      <c r="C180" t="s">
        <v>13</v>
      </c>
      <c r="D180">
        <v>4510</v>
      </c>
      <c r="E180">
        <v>13.02</v>
      </c>
      <c r="F180">
        <v>244.47</v>
      </c>
    </row>
    <row r="181" spans="1:6">
      <c r="A181" s="5">
        <v>2022</v>
      </c>
      <c r="B181" t="s">
        <v>21</v>
      </c>
      <c r="C181" t="s">
        <v>14</v>
      </c>
      <c r="D181">
        <v>1202</v>
      </c>
      <c r="E181">
        <v>16.649999999999999</v>
      </c>
      <c r="F181">
        <v>77.64</v>
      </c>
    </row>
    <row r="182" spans="1:6">
      <c r="A182" s="5">
        <v>2022</v>
      </c>
      <c r="B182" t="s">
        <v>21</v>
      </c>
      <c r="C182" t="s">
        <v>15</v>
      </c>
      <c r="D182">
        <v>5218</v>
      </c>
      <c r="E182">
        <v>18.670000000000002</v>
      </c>
      <c r="F182">
        <v>339.92</v>
      </c>
    </row>
    <row r="183" spans="1:6">
      <c r="A183" s="5">
        <v>2022</v>
      </c>
      <c r="B183" t="s">
        <v>21</v>
      </c>
      <c r="C183" t="s">
        <v>16</v>
      </c>
      <c r="D183">
        <v>9958</v>
      </c>
      <c r="E183">
        <v>21.78</v>
      </c>
      <c r="F183">
        <v>524.74</v>
      </c>
    </row>
    <row r="184" spans="1:6">
      <c r="A184" s="5">
        <v>2022</v>
      </c>
      <c r="B184" t="s">
        <v>21</v>
      </c>
      <c r="C184" t="s">
        <v>7</v>
      </c>
      <c r="D184">
        <v>5389</v>
      </c>
      <c r="E184">
        <v>49.83</v>
      </c>
      <c r="F184">
        <v>275.89999999999998</v>
      </c>
    </row>
    <row r="185" spans="1:6">
      <c r="A185" s="5">
        <v>2022</v>
      </c>
      <c r="B185" t="s">
        <v>22</v>
      </c>
      <c r="C185" t="s">
        <v>8</v>
      </c>
      <c r="D185">
        <v>3327</v>
      </c>
      <c r="E185">
        <v>37.880000000000003</v>
      </c>
      <c r="F185">
        <v>133.28</v>
      </c>
    </row>
    <row r="186" spans="1:6">
      <c r="A186" s="5">
        <v>2022</v>
      </c>
      <c r="B186" t="s">
        <v>22</v>
      </c>
      <c r="C186" t="s">
        <v>9</v>
      </c>
      <c r="D186">
        <v>9004</v>
      </c>
      <c r="E186">
        <v>25.37</v>
      </c>
      <c r="F186">
        <v>472.62</v>
      </c>
    </row>
    <row r="187" spans="1:6">
      <c r="A187" s="5">
        <v>2022</v>
      </c>
      <c r="B187" t="s">
        <v>22</v>
      </c>
      <c r="C187" t="s">
        <v>10</v>
      </c>
      <c r="D187">
        <v>3931</v>
      </c>
      <c r="E187">
        <v>39.479999999999997</v>
      </c>
      <c r="F187">
        <v>218.74</v>
      </c>
    </row>
    <row r="188" spans="1:6">
      <c r="A188" s="5">
        <v>2022</v>
      </c>
      <c r="B188" t="s">
        <v>22</v>
      </c>
      <c r="C188" t="s">
        <v>11</v>
      </c>
      <c r="D188">
        <v>8777</v>
      </c>
      <c r="E188">
        <v>46.61</v>
      </c>
      <c r="F188">
        <v>450.16</v>
      </c>
    </row>
    <row r="189" spans="1:6">
      <c r="A189" s="5">
        <v>2022</v>
      </c>
      <c r="B189" t="s">
        <v>22</v>
      </c>
      <c r="C189" t="s">
        <v>12</v>
      </c>
      <c r="D189">
        <v>1197</v>
      </c>
      <c r="E189">
        <v>48.35</v>
      </c>
      <c r="F189">
        <v>64.3</v>
      </c>
    </row>
    <row r="190" spans="1:6">
      <c r="A190" s="5">
        <v>2022</v>
      </c>
      <c r="B190" t="s">
        <v>22</v>
      </c>
      <c r="C190" t="s">
        <v>13</v>
      </c>
      <c r="D190">
        <v>8125</v>
      </c>
      <c r="E190">
        <v>12.31</v>
      </c>
      <c r="F190">
        <v>441.73</v>
      </c>
    </row>
    <row r="191" spans="1:6">
      <c r="A191" s="5">
        <v>2022</v>
      </c>
      <c r="B191" t="s">
        <v>22</v>
      </c>
      <c r="C191" t="s">
        <v>14</v>
      </c>
      <c r="D191">
        <v>2930</v>
      </c>
      <c r="E191">
        <v>25.78</v>
      </c>
      <c r="F191">
        <v>166.79</v>
      </c>
    </row>
    <row r="192" spans="1:6">
      <c r="A192" s="5">
        <v>2022</v>
      </c>
      <c r="B192" t="s">
        <v>22</v>
      </c>
      <c r="C192" t="s">
        <v>15</v>
      </c>
      <c r="D192">
        <v>7287</v>
      </c>
      <c r="E192">
        <v>14.27</v>
      </c>
      <c r="F192">
        <v>363.36</v>
      </c>
    </row>
    <row r="193" spans="1:6">
      <c r="A193" s="5">
        <v>2022</v>
      </c>
      <c r="B193" t="s">
        <v>22</v>
      </c>
      <c r="C193" t="s">
        <v>16</v>
      </c>
      <c r="D193">
        <v>9800</v>
      </c>
      <c r="E193">
        <v>23.43</v>
      </c>
      <c r="F193">
        <v>493.88</v>
      </c>
    </row>
    <row r="194" spans="1:6">
      <c r="A194" s="5">
        <v>2022</v>
      </c>
      <c r="B194" t="s">
        <v>22</v>
      </c>
      <c r="C194" t="s">
        <v>7</v>
      </c>
      <c r="D194">
        <v>5282</v>
      </c>
      <c r="E194">
        <v>16.79</v>
      </c>
      <c r="F194">
        <v>298.57</v>
      </c>
    </row>
    <row r="195" spans="1:6">
      <c r="A195" s="5">
        <v>2022</v>
      </c>
      <c r="B195" t="s">
        <v>22</v>
      </c>
      <c r="C195" t="s">
        <v>8</v>
      </c>
      <c r="D195">
        <v>3511</v>
      </c>
      <c r="E195">
        <v>35.869999999999997</v>
      </c>
      <c r="F195">
        <v>168.18</v>
      </c>
    </row>
    <row r="196" spans="1:6">
      <c r="A196" s="5">
        <v>2022</v>
      </c>
      <c r="B196" t="s">
        <v>22</v>
      </c>
      <c r="C196" t="s">
        <v>9</v>
      </c>
      <c r="D196">
        <v>1659</v>
      </c>
      <c r="E196">
        <v>25.53</v>
      </c>
      <c r="F196">
        <v>116.09</v>
      </c>
    </row>
    <row r="197" spans="1:6">
      <c r="A197" s="5">
        <v>2022</v>
      </c>
      <c r="B197" t="s">
        <v>22</v>
      </c>
      <c r="C197" t="s">
        <v>10</v>
      </c>
      <c r="D197">
        <v>3811</v>
      </c>
      <c r="E197">
        <v>19.18</v>
      </c>
      <c r="F197">
        <v>226.87</v>
      </c>
    </row>
    <row r="198" spans="1:6">
      <c r="A198" s="5">
        <v>2022</v>
      </c>
      <c r="B198" t="s">
        <v>22</v>
      </c>
      <c r="C198" t="s">
        <v>11</v>
      </c>
      <c r="D198">
        <v>8098</v>
      </c>
      <c r="E198">
        <v>20.64</v>
      </c>
      <c r="F198">
        <v>457.48</v>
      </c>
    </row>
    <row r="199" spans="1:6">
      <c r="A199" s="5">
        <v>2022</v>
      </c>
      <c r="B199" t="s">
        <v>22</v>
      </c>
      <c r="C199" t="s">
        <v>12</v>
      </c>
      <c r="D199">
        <v>7546</v>
      </c>
      <c r="E199">
        <v>24.41</v>
      </c>
      <c r="F199">
        <v>417.17</v>
      </c>
    </row>
    <row r="200" spans="1:6">
      <c r="A200" s="5">
        <v>2022</v>
      </c>
      <c r="B200" t="s">
        <v>22</v>
      </c>
      <c r="C200" t="s">
        <v>13</v>
      </c>
      <c r="D200">
        <v>2986</v>
      </c>
      <c r="E200">
        <v>20.399999999999999</v>
      </c>
      <c r="F200">
        <v>179.37</v>
      </c>
    </row>
    <row r="201" spans="1:6">
      <c r="A201" s="5">
        <v>2022</v>
      </c>
      <c r="B201" t="s">
        <v>22</v>
      </c>
      <c r="C201" t="s">
        <v>14</v>
      </c>
      <c r="D201">
        <v>9338</v>
      </c>
      <c r="E201">
        <v>28.13</v>
      </c>
      <c r="F201">
        <v>498.1</v>
      </c>
    </row>
    <row r="202" spans="1:6">
      <c r="A202" s="5">
        <v>2022</v>
      </c>
      <c r="B202" t="s">
        <v>22</v>
      </c>
      <c r="C202" t="s">
        <v>15</v>
      </c>
      <c r="D202">
        <v>3911</v>
      </c>
      <c r="E202">
        <v>11.29</v>
      </c>
      <c r="F202">
        <v>252.1</v>
      </c>
    </row>
    <row r="203" spans="1:6">
      <c r="A203" s="5">
        <v>2022</v>
      </c>
      <c r="B203" t="s">
        <v>22</v>
      </c>
      <c r="C203" t="s">
        <v>16</v>
      </c>
      <c r="D203">
        <v>2734</v>
      </c>
      <c r="E203">
        <v>21.19</v>
      </c>
      <c r="F203">
        <v>151.12</v>
      </c>
    </row>
    <row r="204" spans="1:6">
      <c r="A204" s="5">
        <v>2022</v>
      </c>
      <c r="B204" t="s">
        <v>22</v>
      </c>
      <c r="C204" t="s">
        <v>7</v>
      </c>
      <c r="D204">
        <v>2843</v>
      </c>
      <c r="E204">
        <v>26.45</v>
      </c>
      <c r="F204">
        <v>153.83000000000001</v>
      </c>
    </row>
    <row r="205" spans="1:6">
      <c r="A205" s="5">
        <v>2022</v>
      </c>
      <c r="B205" t="s">
        <v>22</v>
      </c>
      <c r="C205" t="s">
        <v>8</v>
      </c>
      <c r="D205">
        <v>9680</v>
      </c>
      <c r="E205">
        <v>34.11</v>
      </c>
      <c r="F205">
        <v>491.13</v>
      </c>
    </row>
    <row r="206" spans="1:6">
      <c r="A206" s="5">
        <v>2022</v>
      </c>
      <c r="B206" t="s">
        <v>22</v>
      </c>
      <c r="C206" t="s">
        <v>9</v>
      </c>
      <c r="D206">
        <v>3976</v>
      </c>
      <c r="E206">
        <v>20.84</v>
      </c>
      <c r="F206">
        <v>214.28</v>
      </c>
    </row>
    <row r="207" spans="1:6">
      <c r="A207" s="5">
        <v>2022</v>
      </c>
      <c r="B207" t="s">
        <v>22</v>
      </c>
      <c r="C207" t="s">
        <v>10</v>
      </c>
      <c r="D207">
        <v>2959</v>
      </c>
      <c r="E207">
        <v>15.33</v>
      </c>
      <c r="F207">
        <v>199.87</v>
      </c>
    </row>
    <row r="208" spans="1:6">
      <c r="A208" s="5">
        <v>2022</v>
      </c>
      <c r="B208" t="s">
        <v>22</v>
      </c>
      <c r="C208" t="s">
        <v>11</v>
      </c>
      <c r="D208">
        <v>6759</v>
      </c>
      <c r="E208">
        <v>13.05</v>
      </c>
      <c r="F208">
        <v>359.75</v>
      </c>
    </row>
    <row r="209" spans="1:6">
      <c r="A209" s="5">
        <v>2022</v>
      </c>
      <c r="B209" t="s">
        <v>22</v>
      </c>
      <c r="C209" t="s">
        <v>12</v>
      </c>
      <c r="D209">
        <v>7694</v>
      </c>
      <c r="E209">
        <v>47.62</v>
      </c>
      <c r="F209">
        <v>402.59</v>
      </c>
    </row>
    <row r="210" spans="1:6">
      <c r="A210" s="5">
        <v>2022</v>
      </c>
      <c r="B210" t="s">
        <v>22</v>
      </c>
      <c r="C210" t="s">
        <v>13</v>
      </c>
      <c r="D210">
        <v>3385</v>
      </c>
      <c r="E210">
        <v>26.67</v>
      </c>
      <c r="F210">
        <v>179.91</v>
      </c>
    </row>
    <row r="211" spans="1:6">
      <c r="A211" s="5">
        <v>2022</v>
      </c>
      <c r="B211" t="s">
        <v>22</v>
      </c>
      <c r="C211" t="s">
        <v>14</v>
      </c>
      <c r="D211">
        <v>5736</v>
      </c>
      <c r="E211">
        <v>33.25</v>
      </c>
      <c r="F211">
        <v>306.35000000000002</v>
      </c>
    </row>
    <row r="212" spans="1:6">
      <c r="A212" s="5">
        <v>2022</v>
      </c>
      <c r="B212" t="s">
        <v>22</v>
      </c>
      <c r="C212" t="s">
        <v>15</v>
      </c>
      <c r="D212">
        <v>2802</v>
      </c>
      <c r="E212">
        <v>46.77</v>
      </c>
      <c r="F212">
        <v>137.31</v>
      </c>
    </row>
    <row r="213" spans="1:6">
      <c r="A213" s="5">
        <v>2022</v>
      </c>
      <c r="B213" t="s">
        <v>22</v>
      </c>
      <c r="C213" t="s">
        <v>16</v>
      </c>
      <c r="D213">
        <v>9155</v>
      </c>
      <c r="E213">
        <v>13.31</v>
      </c>
      <c r="F213">
        <v>472.26</v>
      </c>
    </row>
    <row r="214" spans="1:6">
      <c r="A214" s="5">
        <v>2022</v>
      </c>
      <c r="B214" t="s">
        <v>22</v>
      </c>
      <c r="C214" t="s">
        <v>7</v>
      </c>
      <c r="D214">
        <v>9120</v>
      </c>
      <c r="E214">
        <v>45.07</v>
      </c>
      <c r="F214">
        <v>451.52</v>
      </c>
    </row>
    <row r="215" spans="1:6">
      <c r="A215" s="5">
        <v>2022</v>
      </c>
      <c r="B215" t="s">
        <v>22</v>
      </c>
      <c r="C215" t="s">
        <v>8</v>
      </c>
      <c r="D215">
        <v>7616</v>
      </c>
      <c r="E215">
        <v>32.06</v>
      </c>
      <c r="F215">
        <v>399</v>
      </c>
    </row>
    <row r="216" spans="1:6">
      <c r="A216" s="5">
        <v>2022</v>
      </c>
      <c r="B216" t="s">
        <v>23</v>
      </c>
      <c r="C216" t="s">
        <v>9</v>
      </c>
      <c r="D216">
        <v>6534</v>
      </c>
      <c r="E216">
        <v>16.59</v>
      </c>
      <c r="F216">
        <v>355.5</v>
      </c>
    </row>
    <row r="217" spans="1:6">
      <c r="A217" s="5">
        <v>2022</v>
      </c>
      <c r="B217" t="s">
        <v>23</v>
      </c>
      <c r="C217" t="s">
        <v>10</v>
      </c>
      <c r="D217">
        <v>5061</v>
      </c>
      <c r="E217">
        <v>26.45</v>
      </c>
      <c r="F217">
        <v>244.46</v>
      </c>
    </row>
    <row r="218" spans="1:6">
      <c r="A218" s="5">
        <v>2022</v>
      </c>
      <c r="B218" t="s">
        <v>23</v>
      </c>
      <c r="C218" t="s">
        <v>11</v>
      </c>
      <c r="D218">
        <v>1262</v>
      </c>
      <c r="E218">
        <v>41.1</v>
      </c>
      <c r="F218">
        <v>97.8</v>
      </c>
    </row>
    <row r="219" spans="1:6">
      <c r="A219" s="5">
        <v>2022</v>
      </c>
      <c r="B219" t="s">
        <v>23</v>
      </c>
      <c r="C219" t="s">
        <v>12</v>
      </c>
      <c r="D219">
        <v>7287</v>
      </c>
      <c r="E219">
        <v>29.21</v>
      </c>
      <c r="F219">
        <v>381.05</v>
      </c>
    </row>
    <row r="220" spans="1:6">
      <c r="A220" s="5">
        <v>2022</v>
      </c>
      <c r="B220" t="s">
        <v>23</v>
      </c>
      <c r="C220" t="s">
        <v>13</v>
      </c>
      <c r="D220">
        <v>9815</v>
      </c>
      <c r="E220">
        <v>49.41</v>
      </c>
      <c r="F220">
        <v>465.57</v>
      </c>
    </row>
    <row r="221" spans="1:6">
      <c r="A221" s="5">
        <v>2022</v>
      </c>
      <c r="B221" t="s">
        <v>23</v>
      </c>
      <c r="C221" t="s">
        <v>14</v>
      </c>
      <c r="D221">
        <v>3049</v>
      </c>
      <c r="E221">
        <v>25.07</v>
      </c>
      <c r="F221">
        <v>204.78</v>
      </c>
    </row>
    <row r="222" spans="1:6">
      <c r="A222" s="5">
        <v>2022</v>
      </c>
      <c r="B222" t="s">
        <v>23</v>
      </c>
      <c r="C222" t="s">
        <v>15</v>
      </c>
      <c r="D222">
        <v>6423</v>
      </c>
      <c r="E222">
        <v>39.979999999999997</v>
      </c>
      <c r="F222">
        <v>335.52</v>
      </c>
    </row>
    <row r="223" spans="1:6">
      <c r="A223" s="5">
        <v>2022</v>
      </c>
      <c r="B223" t="s">
        <v>23</v>
      </c>
      <c r="C223" t="s">
        <v>16</v>
      </c>
      <c r="D223">
        <v>5548</v>
      </c>
      <c r="E223">
        <v>25.72</v>
      </c>
      <c r="F223">
        <v>272.52999999999997</v>
      </c>
    </row>
    <row r="224" spans="1:6">
      <c r="A224" s="5">
        <v>2022</v>
      </c>
      <c r="B224" t="s">
        <v>23</v>
      </c>
      <c r="C224" t="s">
        <v>7</v>
      </c>
      <c r="D224">
        <v>4108</v>
      </c>
      <c r="E224">
        <v>43.17</v>
      </c>
      <c r="F224">
        <v>182.71</v>
      </c>
    </row>
    <row r="225" spans="1:6">
      <c r="A225" s="5">
        <v>2022</v>
      </c>
      <c r="B225" t="s">
        <v>23</v>
      </c>
      <c r="C225" t="s">
        <v>8</v>
      </c>
      <c r="D225">
        <v>8158</v>
      </c>
      <c r="E225">
        <v>32.76</v>
      </c>
      <c r="F225">
        <v>414.14</v>
      </c>
    </row>
    <row r="226" spans="1:6">
      <c r="A226" s="5">
        <v>2022</v>
      </c>
      <c r="B226" t="s">
        <v>23</v>
      </c>
      <c r="C226" t="s">
        <v>9</v>
      </c>
      <c r="D226">
        <v>8400</v>
      </c>
      <c r="E226">
        <v>12.54</v>
      </c>
      <c r="F226">
        <v>460.9</v>
      </c>
    </row>
    <row r="227" spans="1:6">
      <c r="A227" s="5">
        <v>2022</v>
      </c>
      <c r="B227" t="s">
        <v>23</v>
      </c>
      <c r="C227" t="s">
        <v>10</v>
      </c>
      <c r="D227">
        <v>4170</v>
      </c>
      <c r="E227">
        <v>11.47</v>
      </c>
      <c r="F227">
        <v>257.19</v>
      </c>
    </row>
    <row r="228" spans="1:6">
      <c r="A228" s="5">
        <v>2022</v>
      </c>
      <c r="B228" t="s">
        <v>23</v>
      </c>
      <c r="C228" t="s">
        <v>11</v>
      </c>
      <c r="D228">
        <v>3255</v>
      </c>
      <c r="E228">
        <v>15.35</v>
      </c>
      <c r="F228">
        <v>213.33</v>
      </c>
    </row>
    <row r="229" spans="1:6">
      <c r="A229" s="5">
        <v>2022</v>
      </c>
      <c r="B229" t="s">
        <v>23</v>
      </c>
      <c r="C229" t="s">
        <v>12</v>
      </c>
      <c r="D229">
        <v>2154</v>
      </c>
      <c r="E229">
        <v>10.55</v>
      </c>
      <c r="F229">
        <v>155.84</v>
      </c>
    </row>
    <row r="230" spans="1:6">
      <c r="A230" s="5">
        <v>2022</v>
      </c>
      <c r="B230" t="s">
        <v>23</v>
      </c>
      <c r="C230" t="s">
        <v>13</v>
      </c>
      <c r="D230">
        <v>5499</v>
      </c>
      <c r="E230">
        <v>13.01</v>
      </c>
      <c r="F230">
        <v>336.27</v>
      </c>
    </row>
    <row r="231" spans="1:6">
      <c r="A231" s="5">
        <v>2022</v>
      </c>
      <c r="B231" t="s">
        <v>23</v>
      </c>
      <c r="C231" t="s">
        <v>14</v>
      </c>
      <c r="D231">
        <v>7295</v>
      </c>
      <c r="E231">
        <v>37.67</v>
      </c>
      <c r="F231">
        <v>372.08</v>
      </c>
    </row>
    <row r="232" spans="1:6">
      <c r="A232" s="5">
        <v>2022</v>
      </c>
      <c r="B232" t="s">
        <v>23</v>
      </c>
      <c r="C232" t="s">
        <v>15</v>
      </c>
      <c r="D232">
        <v>7197</v>
      </c>
      <c r="E232">
        <v>31.37</v>
      </c>
      <c r="F232">
        <v>357.01</v>
      </c>
    </row>
    <row r="233" spans="1:6">
      <c r="A233" s="5">
        <v>2022</v>
      </c>
      <c r="B233" t="s">
        <v>23</v>
      </c>
      <c r="C233" t="s">
        <v>16</v>
      </c>
      <c r="D233">
        <v>2648</v>
      </c>
      <c r="E233">
        <v>40</v>
      </c>
      <c r="F233">
        <v>134.34</v>
      </c>
    </row>
    <row r="234" spans="1:6">
      <c r="A234" s="5">
        <v>2022</v>
      </c>
      <c r="B234" t="s">
        <v>23</v>
      </c>
      <c r="C234" t="s">
        <v>7</v>
      </c>
      <c r="D234">
        <v>6539</v>
      </c>
      <c r="E234">
        <v>46.53</v>
      </c>
      <c r="F234">
        <v>319.74</v>
      </c>
    </row>
    <row r="235" spans="1:6">
      <c r="A235" s="5">
        <v>2022</v>
      </c>
      <c r="B235" t="s">
        <v>23</v>
      </c>
      <c r="C235" t="s">
        <v>8</v>
      </c>
      <c r="D235">
        <v>5199</v>
      </c>
      <c r="E235">
        <v>33.409999999999997</v>
      </c>
      <c r="F235">
        <v>218.3</v>
      </c>
    </row>
    <row r="236" spans="1:6">
      <c r="A236" s="5">
        <v>2022</v>
      </c>
      <c r="B236" t="s">
        <v>23</v>
      </c>
      <c r="C236" t="s">
        <v>9</v>
      </c>
      <c r="D236">
        <v>9445</v>
      </c>
      <c r="E236">
        <v>39.04</v>
      </c>
      <c r="F236">
        <v>464.17</v>
      </c>
    </row>
    <row r="237" spans="1:6">
      <c r="A237" s="5">
        <v>2022</v>
      </c>
      <c r="B237" t="s">
        <v>23</v>
      </c>
      <c r="C237" t="s">
        <v>10</v>
      </c>
      <c r="D237">
        <v>3557</v>
      </c>
      <c r="E237">
        <v>40.28</v>
      </c>
      <c r="F237">
        <v>185.79</v>
      </c>
    </row>
    <row r="238" spans="1:6">
      <c r="A238" s="5">
        <v>2022</v>
      </c>
      <c r="B238" t="s">
        <v>23</v>
      </c>
      <c r="C238" t="s">
        <v>11</v>
      </c>
      <c r="D238">
        <v>6592</v>
      </c>
      <c r="E238">
        <v>25.11</v>
      </c>
      <c r="F238">
        <v>340.98</v>
      </c>
    </row>
    <row r="239" spans="1:6">
      <c r="A239" s="5">
        <v>2022</v>
      </c>
      <c r="B239" t="s">
        <v>23</v>
      </c>
      <c r="C239" t="s">
        <v>12</v>
      </c>
      <c r="D239">
        <v>1098</v>
      </c>
      <c r="E239">
        <v>19.64</v>
      </c>
      <c r="F239">
        <v>68.400000000000006</v>
      </c>
    </row>
    <row r="240" spans="1:6">
      <c r="A240" s="5">
        <v>2022</v>
      </c>
      <c r="B240" t="s">
        <v>23</v>
      </c>
      <c r="C240" t="s">
        <v>13</v>
      </c>
      <c r="D240">
        <v>3200</v>
      </c>
      <c r="E240">
        <v>18.2</v>
      </c>
      <c r="F240">
        <v>206.39</v>
      </c>
    </row>
    <row r="241" spans="1:6">
      <c r="A241" s="5">
        <v>2022</v>
      </c>
      <c r="B241" t="s">
        <v>23</v>
      </c>
      <c r="C241" t="s">
        <v>14</v>
      </c>
      <c r="D241">
        <v>3961</v>
      </c>
      <c r="E241">
        <v>20.059999999999999</v>
      </c>
      <c r="F241">
        <v>205.65</v>
      </c>
    </row>
    <row r="242" spans="1:6">
      <c r="A242" s="5">
        <v>2022</v>
      </c>
      <c r="B242" t="s">
        <v>23</v>
      </c>
      <c r="C242" t="s">
        <v>15</v>
      </c>
      <c r="D242">
        <v>5973</v>
      </c>
      <c r="E242">
        <v>20.99</v>
      </c>
      <c r="F242">
        <v>337.7</v>
      </c>
    </row>
    <row r="243" spans="1:6">
      <c r="A243" s="5">
        <v>2022</v>
      </c>
      <c r="B243" t="s">
        <v>23</v>
      </c>
      <c r="C243" t="s">
        <v>16</v>
      </c>
      <c r="D243">
        <v>5433</v>
      </c>
      <c r="E243">
        <v>18.29</v>
      </c>
      <c r="F243">
        <v>273.05</v>
      </c>
    </row>
    <row r="244" spans="1:6">
      <c r="A244" s="5">
        <v>2022</v>
      </c>
      <c r="B244" t="s">
        <v>23</v>
      </c>
      <c r="C244" t="s">
        <v>7</v>
      </c>
      <c r="D244">
        <v>3869</v>
      </c>
      <c r="E244">
        <v>45.13</v>
      </c>
      <c r="F244">
        <v>244.51</v>
      </c>
    </row>
    <row r="245" spans="1:6">
      <c r="A245" s="5">
        <v>2022</v>
      </c>
      <c r="B245" t="s">
        <v>23</v>
      </c>
      <c r="C245" t="s">
        <v>8</v>
      </c>
      <c r="D245">
        <v>1956</v>
      </c>
      <c r="E245">
        <v>40.28</v>
      </c>
      <c r="F245">
        <v>95.15</v>
      </c>
    </row>
    <row r="246" spans="1:6">
      <c r="A246" s="5">
        <v>2022</v>
      </c>
      <c r="B246" t="s">
        <v>23</v>
      </c>
      <c r="C246" t="s">
        <v>9</v>
      </c>
      <c r="D246">
        <v>9352</v>
      </c>
      <c r="E246">
        <v>11.88</v>
      </c>
      <c r="F246">
        <v>496.88</v>
      </c>
    </row>
    <row r="247" spans="1:6">
      <c r="A247" s="5">
        <v>2022</v>
      </c>
      <c r="B247" t="s">
        <v>24</v>
      </c>
      <c r="C247" t="s">
        <v>10</v>
      </c>
      <c r="D247">
        <v>6699</v>
      </c>
      <c r="E247">
        <v>20.75</v>
      </c>
      <c r="F247">
        <v>382.92</v>
      </c>
    </row>
    <row r="248" spans="1:6">
      <c r="A248" s="5">
        <v>2022</v>
      </c>
      <c r="B248" t="s">
        <v>24</v>
      </c>
      <c r="C248" t="s">
        <v>11</v>
      </c>
      <c r="D248">
        <v>7944</v>
      </c>
      <c r="E248">
        <v>10.89</v>
      </c>
      <c r="F248">
        <v>425.76</v>
      </c>
    </row>
    <row r="249" spans="1:6">
      <c r="A249" s="5">
        <v>2022</v>
      </c>
      <c r="B249" t="s">
        <v>24</v>
      </c>
      <c r="C249" t="s">
        <v>12</v>
      </c>
      <c r="D249">
        <v>5493</v>
      </c>
      <c r="E249">
        <v>29.93</v>
      </c>
      <c r="F249">
        <v>317.83999999999997</v>
      </c>
    </row>
    <row r="250" spans="1:6">
      <c r="A250" s="5">
        <v>2022</v>
      </c>
      <c r="B250" t="s">
        <v>24</v>
      </c>
      <c r="C250" t="s">
        <v>13</v>
      </c>
      <c r="D250">
        <v>5911</v>
      </c>
      <c r="E250">
        <v>29.05</v>
      </c>
      <c r="F250">
        <v>318.12</v>
      </c>
    </row>
    <row r="251" spans="1:6">
      <c r="A251" s="5">
        <v>2022</v>
      </c>
      <c r="B251" t="s">
        <v>24</v>
      </c>
      <c r="C251" t="s">
        <v>14</v>
      </c>
      <c r="D251">
        <v>4987</v>
      </c>
      <c r="E251">
        <v>43.25</v>
      </c>
      <c r="F251">
        <v>245.08</v>
      </c>
    </row>
    <row r="252" spans="1:6">
      <c r="A252" s="5">
        <v>2022</v>
      </c>
      <c r="B252" t="s">
        <v>24</v>
      </c>
      <c r="C252" t="s">
        <v>15</v>
      </c>
      <c r="D252">
        <v>7015</v>
      </c>
      <c r="E252">
        <v>22.31</v>
      </c>
      <c r="F252">
        <v>369.48</v>
      </c>
    </row>
    <row r="253" spans="1:6">
      <c r="A253" s="5">
        <v>2022</v>
      </c>
      <c r="B253" t="s">
        <v>24</v>
      </c>
      <c r="C253" t="s">
        <v>16</v>
      </c>
      <c r="D253">
        <v>2218</v>
      </c>
      <c r="E253">
        <v>42.66</v>
      </c>
      <c r="F253">
        <v>133.87</v>
      </c>
    </row>
    <row r="254" spans="1:6">
      <c r="A254" s="5">
        <v>2022</v>
      </c>
      <c r="B254" t="s">
        <v>24</v>
      </c>
      <c r="C254" t="s">
        <v>7</v>
      </c>
      <c r="D254">
        <v>5496</v>
      </c>
      <c r="E254">
        <v>48.72</v>
      </c>
      <c r="F254">
        <v>270.95</v>
      </c>
    </row>
    <row r="255" spans="1:6">
      <c r="A255" s="5">
        <v>2022</v>
      </c>
      <c r="B255" t="s">
        <v>24</v>
      </c>
      <c r="C255" t="s">
        <v>8</v>
      </c>
      <c r="D255">
        <v>5735</v>
      </c>
      <c r="E255">
        <v>13.54</v>
      </c>
      <c r="F255">
        <v>329.15</v>
      </c>
    </row>
    <row r="256" spans="1:6">
      <c r="A256" s="5">
        <v>2022</v>
      </c>
      <c r="B256" t="s">
        <v>24</v>
      </c>
      <c r="C256" t="s">
        <v>9</v>
      </c>
      <c r="D256">
        <v>5555</v>
      </c>
      <c r="E256">
        <v>41.67</v>
      </c>
      <c r="F256">
        <v>288.56</v>
      </c>
    </row>
    <row r="257" spans="1:6">
      <c r="A257" s="5">
        <v>2022</v>
      </c>
      <c r="B257" t="s">
        <v>24</v>
      </c>
      <c r="C257" t="s">
        <v>10</v>
      </c>
      <c r="D257">
        <v>9050</v>
      </c>
      <c r="E257">
        <v>33.6</v>
      </c>
      <c r="F257">
        <v>464.84</v>
      </c>
    </row>
    <row r="258" spans="1:6">
      <c r="A258" s="5">
        <v>2022</v>
      </c>
      <c r="B258" t="s">
        <v>24</v>
      </c>
      <c r="C258" t="s">
        <v>11</v>
      </c>
      <c r="D258">
        <v>4446</v>
      </c>
      <c r="E258">
        <v>29.2</v>
      </c>
      <c r="F258">
        <v>247.66</v>
      </c>
    </row>
    <row r="259" spans="1:6">
      <c r="A259" s="5">
        <v>2022</v>
      </c>
      <c r="B259" t="s">
        <v>24</v>
      </c>
      <c r="C259" t="s">
        <v>12</v>
      </c>
      <c r="D259">
        <v>2045</v>
      </c>
      <c r="E259">
        <v>26.82</v>
      </c>
      <c r="F259">
        <v>117.7</v>
      </c>
    </row>
    <row r="260" spans="1:6">
      <c r="A260" s="5">
        <v>2022</v>
      </c>
      <c r="B260" t="s">
        <v>24</v>
      </c>
      <c r="C260" t="s">
        <v>13</v>
      </c>
      <c r="D260">
        <v>7893</v>
      </c>
      <c r="E260">
        <v>41.39</v>
      </c>
      <c r="F260">
        <v>393.99</v>
      </c>
    </row>
    <row r="261" spans="1:6">
      <c r="A261" s="5">
        <v>2022</v>
      </c>
      <c r="B261" t="s">
        <v>24</v>
      </c>
      <c r="C261" t="s">
        <v>14</v>
      </c>
      <c r="D261">
        <v>2693</v>
      </c>
      <c r="E261">
        <v>35.57</v>
      </c>
      <c r="F261">
        <v>119.58</v>
      </c>
    </row>
    <row r="262" spans="1:6">
      <c r="A262" s="5">
        <v>2022</v>
      </c>
      <c r="B262" t="s">
        <v>24</v>
      </c>
      <c r="C262" t="s">
        <v>15</v>
      </c>
      <c r="D262">
        <v>4436</v>
      </c>
      <c r="E262">
        <v>42.2</v>
      </c>
      <c r="F262">
        <v>227.11</v>
      </c>
    </row>
    <row r="263" spans="1:6">
      <c r="A263" s="5">
        <v>2022</v>
      </c>
      <c r="B263" t="s">
        <v>24</v>
      </c>
      <c r="C263" t="s">
        <v>16</v>
      </c>
      <c r="D263">
        <v>9754</v>
      </c>
      <c r="E263">
        <v>46.13</v>
      </c>
      <c r="F263">
        <v>447.96</v>
      </c>
    </row>
    <row r="264" spans="1:6">
      <c r="A264" s="5">
        <v>2022</v>
      </c>
      <c r="B264" t="s">
        <v>24</v>
      </c>
      <c r="C264" t="s">
        <v>7</v>
      </c>
      <c r="D264">
        <v>6895</v>
      </c>
      <c r="E264">
        <v>34.69</v>
      </c>
      <c r="F264">
        <v>358.79</v>
      </c>
    </row>
    <row r="265" spans="1:6">
      <c r="A265" s="5">
        <v>2022</v>
      </c>
      <c r="B265" t="s">
        <v>24</v>
      </c>
      <c r="C265" t="s">
        <v>8</v>
      </c>
      <c r="D265">
        <v>4354</v>
      </c>
      <c r="E265">
        <v>49.22</v>
      </c>
      <c r="F265">
        <v>203.03</v>
      </c>
    </row>
    <row r="266" spans="1:6">
      <c r="A266" s="5">
        <v>2022</v>
      </c>
      <c r="B266" t="s">
        <v>24</v>
      </c>
      <c r="C266" t="s">
        <v>9</v>
      </c>
      <c r="D266">
        <v>1225</v>
      </c>
      <c r="E266">
        <v>34.32</v>
      </c>
      <c r="F266">
        <v>77.55</v>
      </c>
    </row>
    <row r="267" spans="1:6">
      <c r="A267" s="5">
        <v>2022</v>
      </c>
      <c r="B267" t="s">
        <v>24</v>
      </c>
      <c r="C267" t="s">
        <v>10</v>
      </c>
      <c r="D267">
        <v>5893</v>
      </c>
      <c r="E267">
        <v>35.47</v>
      </c>
      <c r="F267">
        <v>281.11</v>
      </c>
    </row>
    <row r="268" spans="1:6">
      <c r="A268" s="5">
        <v>2022</v>
      </c>
      <c r="B268" t="s">
        <v>24</v>
      </c>
      <c r="C268" t="s">
        <v>11</v>
      </c>
      <c r="D268">
        <v>8022</v>
      </c>
      <c r="E268">
        <v>32.19</v>
      </c>
      <c r="F268">
        <v>370.08</v>
      </c>
    </row>
    <row r="269" spans="1:6">
      <c r="A269" s="5">
        <v>2022</v>
      </c>
      <c r="B269" t="s">
        <v>24</v>
      </c>
      <c r="C269" t="s">
        <v>12</v>
      </c>
      <c r="D269">
        <v>6600</v>
      </c>
      <c r="E269">
        <v>13.64</v>
      </c>
      <c r="F269">
        <v>356.61</v>
      </c>
    </row>
    <row r="270" spans="1:6">
      <c r="A270" s="5">
        <v>2022</v>
      </c>
      <c r="B270" t="s">
        <v>24</v>
      </c>
      <c r="C270" t="s">
        <v>13</v>
      </c>
      <c r="D270">
        <v>8996</v>
      </c>
      <c r="E270">
        <v>39.06</v>
      </c>
      <c r="F270">
        <v>432.01</v>
      </c>
    </row>
    <row r="271" spans="1:6">
      <c r="A271" s="5">
        <v>2022</v>
      </c>
      <c r="B271" t="s">
        <v>24</v>
      </c>
      <c r="C271" t="s">
        <v>14</v>
      </c>
      <c r="D271">
        <v>8683</v>
      </c>
      <c r="E271">
        <v>31.9</v>
      </c>
      <c r="F271">
        <v>410.26</v>
      </c>
    </row>
    <row r="272" spans="1:6">
      <c r="A272" s="5">
        <v>2022</v>
      </c>
      <c r="B272" t="s">
        <v>24</v>
      </c>
      <c r="C272" t="s">
        <v>15</v>
      </c>
      <c r="D272">
        <v>5642</v>
      </c>
      <c r="E272">
        <v>28.04</v>
      </c>
      <c r="F272">
        <v>313.82</v>
      </c>
    </row>
    <row r="273" spans="1:6">
      <c r="A273" s="5">
        <v>2022</v>
      </c>
      <c r="B273" t="s">
        <v>24</v>
      </c>
      <c r="C273" t="s">
        <v>16</v>
      </c>
      <c r="D273">
        <v>8679</v>
      </c>
      <c r="E273">
        <v>46.42</v>
      </c>
      <c r="F273">
        <v>460.27</v>
      </c>
    </row>
    <row r="274" spans="1:6">
      <c r="A274" s="5">
        <v>2022</v>
      </c>
      <c r="B274" t="s">
        <v>24</v>
      </c>
      <c r="C274" t="s">
        <v>7</v>
      </c>
      <c r="D274">
        <v>9208</v>
      </c>
      <c r="E274">
        <v>21.92</v>
      </c>
      <c r="F274">
        <v>468.16</v>
      </c>
    </row>
    <row r="275" spans="1:6">
      <c r="A275" s="5">
        <v>2022</v>
      </c>
      <c r="B275" t="s">
        <v>24</v>
      </c>
      <c r="C275" t="s">
        <v>8</v>
      </c>
      <c r="D275">
        <v>8339</v>
      </c>
      <c r="E275">
        <v>30.94</v>
      </c>
      <c r="F275">
        <v>428.3</v>
      </c>
    </row>
    <row r="276" spans="1:6">
      <c r="A276" s="5">
        <v>2022</v>
      </c>
      <c r="B276" t="s">
        <v>24</v>
      </c>
      <c r="C276" t="s">
        <v>9</v>
      </c>
      <c r="D276">
        <v>3205</v>
      </c>
      <c r="E276">
        <v>37.909999999999997</v>
      </c>
      <c r="F276">
        <v>158.61000000000001</v>
      </c>
    </row>
    <row r="277" spans="1:6">
      <c r="A277" s="5">
        <v>2022</v>
      </c>
      <c r="B277" t="s">
        <v>25</v>
      </c>
      <c r="C277" t="s">
        <v>10</v>
      </c>
      <c r="D277">
        <v>2069</v>
      </c>
      <c r="E277">
        <v>41.86</v>
      </c>
      <c r="F277">
        <v>90.04</v>
      </c>
    </row>
    <row r="278" spans="1:6">
      <c r="A278" s="5">
        <v>2022</v>
      </c>
      <c r="B278" t="s">
        <v>25</v>
      </c>
      <c r="C278" t="s">
        <v>11</v>
      </c>
      <c r="D278">
        <v>4444</v>
      </c>
      <c r="E278">
        <v>28.37</v>
      </c>
      <c r="F278">
        <v>251.43</v>
      </c>
    </row>
    <row r="279" spans="1:6">
      <c r="A279" s="5">
        <v>2022</v>
      </c>
      <c r="B279" t="s">
        <v>25</v>
      </c>
      <c r="C279" t="s">
        <v>12</v>
      </c>
      <c r="D279">
        <v>2060</v>
      </c>
      <c r="E279">
        <v>43.68</v>
      </c>
      <c r="F279">
        <v>120.78</v>
      </c>
    </row>
    <row r="280" spans="1:6">
      <c r="A280" s="5">
        <v>2022</v>
      </c>
      <c r="B280" t="s">
        <v>25</v>
      </c>
      <c r="C280" t="s">
        <v>13</v>
      </c>
      <c r="D280">
        <v>3327</v>
      </c>
      <c r="E280">
        <v>40.76</v>
      </c>
      <c r="F280">
        <v>150.07</v>
      </c>
    </row>
    <row r="281" spans="1:6">
      <c r="A281" s="5">
        <v>2022</v>
      </c>
      <c r="B281" t="s">
        <v>25</v>
      </c>
      <c r="C281" t="s">
        <v>14</v>
      </c>
      <c r="D281">
        <v>4420</v>
      </c>
      <c r="E281">
        <v>12.65</v>
      </c>
      <c r="F281">
        <v>256.72000000000003</v>
      </c>
    </row>
    <row r="282" spans="1:6">
      <c r="A282" s="5">
        <v>2022</v>
      </c>
      <c r="B282" t="s">
        <v>25</v>
      </c>
      <c r="C282" t="s">
        <v>15</v>
      </c>
      <c r="D282">
        <v>1301</v>
      </c>
      <c r="E282">
        <v>11.83</v>
      </c>
      <c r="F282">
        <v>126.54</v>
      </c>
    </row>
    <row r="283" spans="1:6">
      <c r="A283" s="5">
        <v>2022</v>
      </c>
      <c r="B283" t="s">
        <v>25</v>
      </c>
      <c r="C283" t="s">
        <v>16</v>
      </c>
      <c r="D283">
        <v>1606</v>
      </c>
      <c r="E283">
        <v>34.83</v>
      </c>
      <c r="F283">
        <v>102.28</v>
      </c>
    </row>
    <row r="284" spans="1:6">
      <c r="A284" s="5">
        <v>2022</v>
      </c>
      <c r="B284" t="s">
        <v>25</v>
      </c>
      <c r="C284" t="s">
        <v>7</v>
      </c>
      <c r="D284">
        <v>4170</v>
      </c>
      <c r="E284">
        <v>23.9</v>
      </c>
      <c r="F284">
        <v>246.58</v>
      </c>
    </row>
    <row r="285" spans="1:6">
      <c r="A285" s="5">
        <v>2022</v>
      </c>
      <c r="B285" t="s">
        <v>25</v>
      </c>
      <c r="C285" t="s">
        <v>8</v>
      </c>
      <c r="D285">
        <v>1699</v>
      </c>
      <c r="E285">
        <v>18.37</v>
      </c>
      <c r="F285">
        <v>140.27000000000001</v>
      </c>
    </row>
    <row r="286" spans="1:6">
      <c r="A286" s="5">
        <v>2022</v>
      </c>
      <c r="B286" t="s">
        <v>25</v>
      </c>
      <c r="C286" t="s">
        <v>9</v>
      </c>
      <c r="D286">
        <v>6088</v>
      </c>
      <c r="E286">
        <v>33.19</v>
      </c>
      <c r="F286">
        <v>341.67</v>
      </c>
    </row>
    <row r="287" spans="1:6">
      <c r="A287" s="5">
        <v>2022</v>
      </c>
      <c r="B287" t="s">
        <v>25</v>
      </c>
      <c r="C287" t="s">
        <v>10</v>
      </c>
      <c r="D287">
        <v>1190</v>
      </c>
      <c r="E287">
        <v>23.66</v>
      </c>
      <c r="F287">
        <v>101.68</v>
      </c>
    </row>
    <row r="288" spans="1:6">
      <c r="A288" s="5">
        <v>2022</v>
      </c>
      <c r="B288" t="s">
        <v>25</v>
      </c>
      <c r="C288" t="s">
        <v>11</v>
      </c>
      <c r="D288">
        <v>1980</v>
      </c>
      <c r="E288">
        <v>31.49</v>
      </c>
      <c r="F288">
        <v>114.11</v>
      </c>
    </row>
    <row r="289" spans="1:6">
      <c r="A289" s="5">
        <v>2022</v>
      </c>
      <c r="B289" t="s">
        <v>25</v>
      </c>
      <c r="C289" t="s">
        <v>12</v>
      </c>
      <c r="D289">
        <v>3975</v>
      </c>
      <c r="E289">
        <v>28.4</v>
      </c>
      <c r="F289">
        <v>207.01</v>
      </c>
    </row>
    <row r="290" spans="1:6">
      <c r="A290" s="5">
        <v>2022</v>
      </c>
      <c r="B290" t="s">
        <v>25</v>
      </c>
      <c r="C290" t="s">
        <v>13</v>
      </c>
      <c r="D290">
        <v>7102</v>
      </c>
      <c r="E290">
        <v>33.39</v>
      </c>
      <c r="F290">
        <v>367.1</v>
      </c>
    </row>
    <row r="291" spans="1:6">
      <c r="A291" s="5">
        <v>2022</v>
      </c>
      <c r="B291" t="s">
        <v>25</v>
      </c>
      <c r="C291" t="s">
        <v>14</v>
      </c>
      <c r="D291">
        <v>2184</v>
      </c>
      <c r="E291">
        <v>26.01</v>
      </c>
      <c r="F291">
        <v>117.3</v>
      </c>
    </row>
    <row r="292" spans="1:6">
      <c r="A292" s="5">
        <v>2022</v>
      </c>
      <c r="B292" t="s">
        <v>25</v>
      </c>
      <c r="C292" t="s">
        <v>15</v>
      </c>
      <c r="D292">
        <v>4327</v>
      </c>
      <c r="E292">
        <v>37.909999999999997</v>
      </c>
      <c r="F292">
        <v>181.81</v>
      </c>
    </row>
    <row r="293" spans="1:6">
      <c r="A293" s="5">
        <v>2022</v>
      </c>
      <c r="B293" t="s">
        <v>25</v>
      </c>
      <c r="C293" t="s">
        <v>16</v>
      </c>
      <c r="D293">
        <v>4394</v>
      </c>
      <c r="E293">
        <v>17.2</v>
      </c>
      <c r="F293">
        <v>243.47</v>
      </c>
    </row>
    <row r="294" spans="1:6">
      <c r="A294" s="5">
        <v>2022</v>
      </c>
      <c r="B294" t="s">
        <v>25</v>
      </c>
      <c r="C294" t="s">
        <v>7</v>
      </c>
      <c r="D294">
        <v>9319</v>
      </c>
      <c r="E294">
        <v>37.86</v>
      </c>
      <c r="F294">
        <v>477.67</v>
      </c>
    </row>
    <row r="295" spans="1:6">
      <c r="A295" s="5">
        <v>2022</v>
      </c>
      <c r="B295" t="s">
        <v>25</v>
      </c>
      <c r="C295" t="s">
        <v>8</v>
      </c>
      <c r="D295">
        <v>2816</v>
      </c>
      <c r="E295">
        <v>26.47</v>
      </c>
      <c r="F295">
        <v>147.29</v>
      </c>
    </row>
    <row r="296" spans="1:6">
      <c r="A296" s="5">
        <v>2022</v>
      </c>
      <c r="B296" t="s">
        <v>25</v>
      </c>
      <c r="C296" t="s">
        <v>9</v>
      </c>
      <c r="D296">
        <v>6854</v>
      </c>
      <c r="E296">
        <v>44.97</v>
      </c>
      <c r="F296">
        <v>334.88</v>
      </c>
    </row>
    <row r="297" spans="1:6">
      <c r="A297" s="5">
        <v>2022</v>
      </c>
      <c r="B297" t="s">
        <v>25</v>
      </c>
      <c r="C297" t="s">
        <v>10</v>
      </c>
      <c r="D297">
        <v>7709</v>
      </c>
      <c r="E297">
        <v>30.61</v>
      </c>
      <c r="F297">
        <v>395.64</v>
      </c>
    </row>
    <row r="298" spans="1:6">
      <c r="A298" s="5">
        <v>2022</v>
      </c>
      <c r="B298" t="s">
        <v>25</v>
      </c>
      <c r="C298" t="s">
        <v>11</v>
      </c>
      <c r="D298">
        <v>1569</v>
      </c>
      <c r="E298">
        <v>48.92</v>
      </c>
      <c r="F298">
        <v>96.88</v>
      </c>
    </row>
    <row r="299" spans="1:6">
      <c r="A299" s="5">
        <v>2022</v>
      </c>
      <c r="B299" t="s">
        <v>25</v>
      </c>
      <c r="C299" t="s">
        <v>12</v>
      </c>
      <c r="D299">
        <v>6442</v>
      </c>
      <c r="E299">
        <v>34.08</v>
      </c>
      <c r="F299">
        <v>324.02</v>
      </c>
    </row>
    <row r="300" spans="1:6">
      <c r="A300" s="5">
        <v>2022</v>
      </c>
      <c r="B300" t="s">
        <v>25</v>
      </c>
      <c r="C300" t="s">
        <v>13</v>
      </c>
      <c r="D300">
        <v>2895</v>
      </c>
      <c r="E300">
        <v>18.95</v>
      </c>
      <c r="F300">
        <v>199.14</v>
      </c>
    </row>
    <row r="301" spans="1:6">
      <c r="A301" s="5">
        <v>2022</v>
      </c>
      <c r="B301" t="s">
        <v>25</v>
      </c>
      <c r="C301" t="s">
        <v>14</v>
      </c>
      <c r="D301">
        <v>3733</v>
      </c>
      <c r="E301">
        <v>42.87</v>
      </c>
      <c r="F301">
        <v>130.94999999999999</v>
      </c>
    </row>
    <row r="302" spans="1:6">
      <c r="A302" s="5">
        <v>2022</v>
      </c>
      <c r="B302" t="s">
        <v>25</v>
      </c>
      <c r="C302" t="s">
        <v>15</v>
      </c>
      <c r="D302">
        <v>4863</v>
      </c>
      <c r="E302">
        <v>23.8</v>
      </c>
      <c r="F302">
        <v>291.54000000000002</v>
      </c>
    </row>
    <row r="303" spans="1:6">
      <c r="A303" s="5">
        <v>2022</v>
      </c>
      <c r="B303" t="s">
        <v>25</v>
      </c>
      <c r="C303" t="s">
        <v>16</v>
      </c>
      <c r="D303">
        <v>8455</v>
      </c>
      <c r="E303">
        <v>23.9</v>
      </c>
      <c r="F303">
        <v>470.01</v>
      </c>
    </row>
    <row r="304" spans="1:6">
      <c r="A304" s="5">
        <v>2022</v>
      </c>
      <c r="B304" t="s">
        <v>25</v>
      </c>
      <c r="C304" t="s">
        <v>7</v>
      </c>
      <c r="D304">
        <v>5014</v>
      </c>
      <c r="E304">
        <v>11.27</v>
      </c>
      <c r="F304">
        <v>305.22000000000003</v>
      </c>
    </row>
    <row r="305" spans="1:6">
      <c r="A305" s="5">
        <v>2022</v>
      </c>
      <c r="B305" t="s">
        <v>25</v>
      </c>
      <c r="C305" t="s">
        <v>8</v>
      </c>
      <c r="D305">
        <v>2686</v>
      </c>
      <c r="E305">
        <v>31.95</v>
      </c>
      <c r="F305">
        <v>105.72</v>
      </c>
    </row>
    <row r="306" spans="1:6">
      <c r="A306" s="5">
        <v>2022</v>
      </c>
      <c r="B306" t="s">
        <v>25</v>
      </c>
      <c r="C306" t="s">
        <v>9</v>
      </c>
      <c r="D306">
        <v>4009</v>
      </c>
      <c r="E306">
        <v>31.38</v>
      </c>
      <c r="F306">
        <v>233.18</v>
      </c>
    </row>
    <row r="307" spans="1:6">
      <c r="A307" s="5">
        <v>2022</v>
      </c>
      <c r="B307" t="s">
        <v>25</v>
      </c>
      <c r="C307" t="s">
        <v>10</v>
      </c>
      <c r="D307">
        <v>8806</v>
      </c>
      <c r="E307">
        <v>24.24</v>
      </c>
      <c r="F307">
        <v>460.21</v>
      </c>
    </row>
    <row r="308" spans="1:6">
      <c r="A308" s="5">
        <v>2022</v>
      </c>
      <c r="B308" t="s">
        <v>26</v>
      </c>
      <c r="C308" t="s">
        <v>11</v>
      </c>
      <c r="D308">
        <v>1154</v>
      </c>
      <c r="E308">
        <v>45.77</v>
      </c>
      <c r="F308">
        <v>2.19</v>
      </c>
    </row>
    <row r="309" spans="1:6">
      <c r="A309" s="5">
        <v>2022</v>
      </c>
      <c r="B309" t="s">
        <v>26</v>
      </c>
      <c r="C309" t="s">
        <v>12</v>
      </c>
      <c r="D309">
        <v>2409</v>
      </c>
      <c r="E309">
        <v>15.15</v>
      </c>
      <c r="F309">
        <v>178.23</v>
      </c>
    </row>
    <row r="310" spans="1:6">
      <c r="A310" s="5">
        <v>2022</v>
      </c>
      <c r="B310" t="s">
        <v>26</v>
      </c>
      <c r="C310" t="s">
        <v>13</v>
      </c>
      <c r="D310">
        <v>1784</v>
      </c>
      <c r="E310">
        <v>23.2</v>
      </c>
      <c r="F310">
        <v>140.24</v>
      </c>
    </row>
    <row r="311" spans="1:6">
      <c r="A311" s="5">
        <v>2022</v>
      </c>
      <c r="B311" t="s">
        <v>26</v>
      </c>
      <c r="C311" t="s">
        <v>14</v>
      </c>
      <c r="D311">
        <v>9096</v>
      </c>
      <c r="E311">
        <v>22.86</v>
      </c>
      <c r="F311">
        <v>439.27</v>
      </c>
    </row>
    <row r="312" spans="1:6">
      <c r="A312" s="5">
        <v>2022</v>
      </c>
      <c r="B312" t="s">
        <v>26</v>
      </c>
      <c r="C312" t="s">
        <v>15</v>
      </c>
      <c r="D312">
        <v>8560</v>
      </c>
      <c r="E312">
        <v>13.69</v>
      </c>
      <c r="F312">
        <v>465.08</v>
      </c>
    </row>
    <row r="313" spans="1:6">
      <c r="A313" s="5">
        <v>2022</v>
      </c>
      <c r="B313" t="s">
        <v>26</v>
      </c>
      <c r="C313" t="s">
        <v>16</v>
      </c>
      <c r="D313">
        <v>8343</v>
      </c>
      <c r="E313">
        <v>29.25</v>
      </c>
      <c r="F313">
        <v>459.83</v>
      </c>
    </row>
    <row r="314" spans="1:6">
      <c r="A314" s="5">
        <v>2022</v>
      </c>
      <c r="B314" t="s">
        <v>26</v>
      </c>
      <c r="C314" t="s">
        <v>7</v>
      </c>
      <c r="D314">
        <v>8206</v>
      </c>
      <c r="E314">
        <v>37.51</v>
      </c>
      <c r="F314">
        <v>439.89</v>
      </c>
    </row>
    <row r="315" spans="1:6">
      <c r="A315" s="5">
        <v>2022</v>
      </c>
      <c r="B315" t="s">
        <v>26</v>
      </c>
      <c r="C315" t="s">
        <v>8</v>
      </c>
      <c r="D315">
        <v>6596</v>
      </c>
      <c r="E315">
        <v>30.47</v>
      </c>
      <c r="F315">
        <v>359.96</v>
      </c>
    </row>
    <row r="316" spans="1:6">
      <c r="A316" s="5">
        <v>2022</v>
      </c>
      <c r="B316" t="s">
        <v>26</v>
      </c>
      <c r="C316" t="s">
        <v>9</v>
      </c>
      <c r="D316">
        <v>6801</v>
      </c>
      <c r="E316">
        <v>16.28</v>
      </c>
      <c r="F316">
        <v>317.57</v>
      </c>
    </row>
    <row r="317" spans="1:6">
      <c r="A317" s="5">
        <v>2022</v>
      </c>
      <c r="B317" t="s">
        <v>26</v>
      </c>
      <c r="C317" t="s">
        <v>10</v>
      </c>
      <c r="D317">
        <v>3806</v>
      </c>
      <c r="E317">
        <v>25.09</v>
      </c>
      <c r="F317">
        <v>224.78</v>
      </c>
    </row>
    <row r="318" spans="1:6">
      <c r="A318" s="5">
        <v>2022</v>
      </c>
      <c r="B318" t="s">
        <v>26</v>
      </c>
      <c r="C318" t="s">
        <v>11</v>
      </c>
      <c r="D318">
        <v>1537</v>
      </c>
      <c r="E318">
        <v>10.1</v>
      </c>
      <c r="F318">
        <v>110.36</v>
      </c>
    </row>
    <row r="319" spans="1:6">
      <c r="A319" s="5">
        <v>2022</v>
      </c>
      <c r="B319" t="s">
        <v>26</v>
      </c>
      <c r="C319" t="s">
        <v>12</v>
      </c>
      <c r="D319">
        <v>6986</v>
      </c>
      <c r="E319">
        <v>44.73</v>
      </c>
      <c r="F319">
        <v>365.54</v>
      </c>
    </row>
    <row r="320" spans="1:6">
      <c r="A320" s="5">
        <v>2022</v>
      </c>
      <c r="B320" t="s">
        <v>26</v>
      </c>
      <c r="C320" t="s">
        <v>13</v>
      </c>
      <c r="D320">
        <v>2841</v>
      </c>
      <c r="E320">
        <v>13.38</v>
      </c>
      <c r="F320">
        <v>181.12</v>
      </c>
    </row>
    <row r="321" spans="1:6">
      <c r="A321" s="5">
        <v>2022</v>
      </c>
      <c r="B321" t="s">
        <v>26</v>
      </c>
      <c r="C321" t="s">
        <v>14</v>
      </c>
      <c r="D321">
        <v>9716</v>
      </c>
      <c r="E321">
        <v>33.89</v>
      </c>
      <c r="F321">
        <v>494.73</v>
      </c>
    </row>
    <row r="322" spans="1:6">
      <c r="A322" s="5">
        <v>2022</v>
      </c>
      <c r="B322" t="s">
        <v>26</v>
      </c>
      <c r="C322" t="s">
        <v>15</v>
      </c>
      <c r="D322">
        <v>7971</v>
      </c>
      <c r="E322">
        <v>49.45</v>
      </c>
      <c r="F322">
        <v>402.03</v>
      </c>
    </row>
    <row r="323" spans="1:6">
      <c r="A323" s="5">
        <v>2022</v>
      </c>
      <c r="B323" t="s">
        <v>26</v>
      </c>
      <c r="C323" t="s">
        <v>16</v>
      </c>
      <c r="D323">
        <v>6625</v>
      </c>
      <c r="E323">
        <v>31.46</v>
      </c>
      <c r="F323">
        <v>340.06</v>
      </c>
    </row>
    <row r="324" spans="1:6">
      <c r="A324" s="5">
        <v>2022</v>
      </c>
      <c r="B324" t="s">
        <v>27</v>
      </c>
      <c r="C324" t="s">
        <v>7</v>
      </c>
      <c r="D324">
        <v>3950</v>
      </c>
      <c r="E324">
        <v>46.96</v>
      </c>
      <c r="F324">
        <v>190.66</v>
      </c>
    </row>
    <row r="325" spans="1:6">
      <c r="A325" s="5">
        <v>2022</v>
      </c>
      <c r="B325" t="s">
        <v>27</v>
      </c>
      <c r="C325" t="s">
        <v>8</v>
      </c>
      <c r="D325">
        <v>8992</v>
      </c>
      <c r="E325">
        <v>19.440000000000001</v>
      </c>
      <c r="F325">
        <v>465.16</v>
      </c>
    </row>
    <row r="326" spans="1:6">
      <c r="A326" s="5">
        <v>2022</v>
      </c>
      <c r="B326" t="s">
        <v>27</v>
      </c>
      <c r="C326" t="s">
        <v>9</v>
      </c>
      <c r="D326">
        <v>5780</v>
      </c>
      <c r="E326">
        <v>40.4</v>
      </c>
      <c r="F326">
        <v>258.41000000000003</v>
      </c>
    </row>
    <row r="327" spans="1:6">
      <c r="A327" s="5">
        <v>2022</v>
      </c>
      <c r="B327" t="s">
        <v>27</v>
      </c>
      <c r="C327" t="s">
        <v>10</v>
      </c>
      <c r="D327">
        <v>3368</v>
      </c>
      <c r="E327">
        <v>31.25</v>
      </c>
      <c r="F327">
        <v>192.26</v>
      </c>
    </row>
    <row r="328" spans="1:6">
      <c r="A328" s="5">
        <v>2022</v>
      </c>
      <c r="B328" t="s">
        <v>27</v>
      </c>
      <c r="C328" t="s">
        <v>11</v>
      </c>
      <c r="D328">
        <v>7655</v>
      </c>
      <c r="E328">
        <v>38.82</v>
      </c>
      <c r="F328">
        <v>370.04</v>
      </c>
    </row>
    <row r="329" spans="1:6">
      <c r="A329" s="5">
        <v>2022</v>
      </c>
      <c r="B329" t="s">
        <v>27</v>
      </c>
      <c r="C329" t="s">
        <v>12</v>
      </c>
      <c r="D329">
        <v>9173</v>
      </c>
      <c r="E329">
        <v>12.49</v>
      </c>
      <c r="F329">
        <v>489.64</v>
      </c>
    </row>
    <row r="330" spans="1:6">
      <c r="A330" s="5">
        <v>2022</v>
      </c>
      <c r="B330" t="s">
        <v>27</v>
      </c>
      <c r="C330" t="s">
        <v>13</v>
      </c>
      <c r="D330">
        <v>5495</v>
      </c>
      <c r="E330">
        <v>15.91</v>
      </c>
      <c r="F330">
        <v>311.39999999999998</v>
      </c>
    </row>
    <row r="331" spans="1:6">
      <c r="A331" s="5">
        <v>2022</v>
      </c>
      <c r="B331" t="s">
        <v>27</v>
      </c>
      <c r="C331" t="s">
        <v>14</v>
      </c>
      <c r="D331">
        <v>7002</v>
      </c>
      <c r="E331">
        <v>15.32</v>
      </c>
      <c r="F331">
        <v>340.01</v>
      </c>
    </row>
    <row r="332" spans="1:6">
      <c r="A332" s="5">
        <v>2022</v>
      </c>
      <c r="B332" t="s">
        <v>27</v>
      </c>
      <c r="C332" t="s">
        <v>15</v>
      </c>
      <c r="D332">
        <v>7614</v>
      </c>
      <c r="E332">
        <v>37.49</v>
      </c>
      <c r="F332">
        <v>348.49</v>
      </c>
    </row>
    <row r="333" spans="1:6">
      <c r="A333" s="5">
        <v>2022</v>
      </c>
      <c r="B333" t="s">
        <v>27</v>
      </c>
      <c r="C333" t="s">
        <v>16</v>
      </c>
      <c r="D333">
        <v>6919</v>
      </c>
      <c r="E333">
        <v>43.78</v>
      </c>
      <c r="F333">
        <v>337.42</v>
      </c>
    </row>
    <row r="334" spans="1:6">
      <c r="A334" s="5">
        <v>2022</v>
      </c>
      <c r="B334" t="s">
        <v>27</v>
      </c>
      <c r="C334" t="s">
        <v>7</v>
      </c>
      <c r="D334">
        <v>1853</v>
      </c>
      <c r="E334">
        <v>39.979999999999997</v>
      </c>
      <c r="F334">
        <v>103.76</v>
      </c>
    </row>
    <row r="335" spans="1:6">
      <c r="A335" s="5">
        <v>2022</v>
      </c>
      <c r="B335" t="s">
        <v>27</v>
      </c>
      <c r="C335" t="s">
        <v>8</v>
      </c>
      <c r="D335">
        <v>5146</v>
      </c>
      <c r="E335">
        <v>11.22</v>
      </c>
      <c r="F335">
        <v>308.72000000000003</v>
      </c>
    </row>
    <row r="336" spans="1:6">
      <c r="A336" s="5">
        <v>2022</v>
      </c>
      <c r="B336" t="s">
        <v>27</v>
      </c>
      <c r="C336" t="s">
        <v>9</v>
      </c>
      <c r="D336">
        <v>4769</v>
      </c>
      <c r="E336">
        <v>44.69</v>
      </c>
      <c r="F336">
        <v>203</v>
      </c>
    </row>
    <row r="337" spans="1:6">
      <c r="A337" s="5">
        <v>2022</v>
      </c>
      <c r="B337" t="s">
        <v>27</v>
      </c>
      <c r="C337" t="s">
        <v>10</v>
      </c>
      <c r="D337">
        <v>1574</v>
      </c>
      <c r="E337">
        <v>24.17</v>
      </c>
      <c r="F337">
        <v>112.43</v>
      </c>
    </row>
    <row r="338" spans="1:6">
      <c r="A338" s="5">
        <v>2022</v>
      </c>
      <c r="B338" t="s">
        <v>27</v>
      </c>
      <c r="C338" t="s">
        <v>11</v>
      </c>
      <c r="D338">
        <v>2148</v>
      </c>
      <c r="E338">
        <v>25.89</v>
      </c>
      <c r="F338">
        <v>121.43</v>
      </c>
    </row>
    <row r="339" spans="1:6">
      <c r="A339" s="5">
        <v>2022</v>
      </c>
      <c r="B339" t="s">
        <v>27</v>
      </c>
      <c r="C339" t="s">
        <v>12</v>
      </c>
      <c r="D339">
        <v>7293</v>
      </c>
      <c r="E339">
        <v>14.19</v>
      </c>
      <c r="F339">
        <v>379.95</v>
      </c>
    </row>
    <row r="340" spans="1:6">
      <c r="A340" s="5">
        <v>2022</v>
      </c>
      <c r="B340" t="s">
        <v>27</v>
      </c>
      <c r="C340" t="s">
        <v>13</v>
      </c>
      <c r="D340">
        <v>7457</v>
      </c>
      <c r="E340">
        <v>39.5</v>
      </c>
      <c r="F340">
        <v>362.48</v>
      </c>
    </row>
    <row r="341" spans="1:6">
      <c r="A341" s="5">
        <v>2022</v>
      </c>
      <c r="B341" t="s">
        <v>27</v>
      </c>
      <c r="C341" t="s">
        <v>14</v>
      </c>
      <c r="D341">
        <v>8509</v>
      </c>
      <c r="E341">
        <v>17.29</v>
      </c>
      <c r="F341">
        <v>470.74</v>
      </c>
    </row>
    <row r="342" spans="1:6">
      <c r="A342" s="5">
        <v>2022</v>
      </c>
      <c r="B342" t="s">
        <v>27</v>
      </c>
      <c r="C342" t="s">
        <v>15</v>
      </c>
      <c r="D342">
        <v>5777</v>
      </c>
      <c r="E342">
        <v>32.56</v>
      </c>
      <c r="F342">
        <v>305.26</v>
      </c>
    </row>
    <row r="343" spans="1:6">
      <c r="A343" s="5">
        <v>2022</v>
      </c>
      <c r="B343" t="s">
        <v>27</v>
      </c>
      <c r="C343" t="s">
        <v>16</v>
      </c>
      <c r="D343">
        <v>4854</v>
      </c>
      <c r="E343">
        <v>43.63</v>
      </c>
      <c r="F343">
        <v>241.35</v>
      </c>
    </row>
    <row r="344" spans="1:6">
      <c r="A344" s="5">
        <v>2022</v>
      </c>
      <c r="B344" t="s">
        <v>27</v>
      </c>
      <c r="C344" t="s">
        <v>7</v>
      </c>
      <c r="D344">
        <v>3491</v>
      </c>
      <c r="E344">
        <v>13.57</v>
      </c>
      <c r="F344">
        <v>213.14</v>
      </c>
    </row>
    <row r="345" spans="1:6">
      <c r="A345" s="5">
        <v>2022</v>
      </c>
      <c r="B345" t="s">
        <v>27</v>
      </c>
      <c r="C345" t="s">
        <v>8</v>
      </c>
      <c r="D345">
        <v>4124</v>
      </c>
      <c r="E345">
        <v>31.41</v>
      </c>
      <c r="F345">
        <v>237.07</v>
      </c>
    </row>
    <row r="346" spans="1:6">
      <c r="A346" s="5">
        <v>2022</v>
      </c>
      <c r="B346" t="s">
        <v>27</v>
      </c>
      <c r="C346" t="s">
        <v>9</v>
      </c>
      <c r="D346">
        <v>6691</v>
      </c>
      <c r="E346">
        <v>19.329999999999998</v>
      </c>
      <c r="F346">
        <v>359.41</v>
      </c>
    </row>
    <row r="347" spans="1:6">
      <c r="A347" s="5">
        <v>2022</v>
      </c>
      <c r="B347" t="s">
        <v>27</v>
      </c>
      <c r="C347" t="s">
        <v>10</v>
      </c>
      <c r="D347">
        <v>4051</v>
      </c>
      <c r="E347">
        <v>23.72</v>
      </c>
      <c r="F347">
        <v>225.18</v>
      </c>
    </row>
    <row r="348" spans="1:6">
      <c r="A348" s="5">
        <v>2022</v>
      </c>
      <c r="B348" t="s">
        <v>27</v>
      </c>
      <c r="C348" t="s">
        <v>11</v>
      </c>
      <c r="D348">
        <v>1004</v>
      </c>
      <c r="E348">
        <v>28.96</v>
      </c>
      <c r="F348">
        <v>88.21</v>
      </c>
    </row>
    <row r="349" spans="1:6">
      <c r="A349" s="5">
        <v>2022</v>
      </c>
      <c r="B349" t="s">
        <v>27</v>
      </c>
      <c r="C349" t="s">
        <v>12</v>
      </c>
      <c r="D349">
        <v>6222</v>
      </c>
      <c r="E349">
        <v>24.2</v>
      </c>
      <c r="F349">
        <v>325.42</v>
      </c>
    </row>
    <row r="350" spans="1:6">
      <c r="A350" s="5">
        <v>2022</v>
      </c>
      <c r="B350" t="s">
        <v>27</v>
      </c>
      <c r="C350" t="s">
        <v>13</v>
      </c>
      <c r="D350">
        <v>6315</v>
      </c>
      <c r="E350">
        <v>35.950000000000003</v>
      </c>
      <c r="F350">
        <v>334.97</v>
      </c>
    </row>
    <row r="351" spans="1:6">
      <c r="A351" s="5">
        <v>2022</v>
      </c>
      <c r="B351" t="s">
        <v>27</v>
      </c>
      <c r="C351" t="s">
        <v>14</v>
      </c>
      <c r="D351">
        <v>5869</v>
      </c>
      <c r="E351">
        <v>29.18</v>
      </c>
      <c r="F351">
        <v>298.36</v>
      </c>
    </row>
    <row r="352" spans="1:6">
      <c r="A352" s="5">
        <v>2022</v>
      </c>
      <c r="B352" t="s">
        <v>27</v>
      </c>
      <c r="C352" t="s">
        <v>15</v>
      </c>
      <c r="D352">
        <v>1876</v>
      </c>
      <c r="E352">
        <v>33.369999999999997</v>
      </c>
      <c r="F352">
        <v>95.44</v>
      </c>
    </row>
    <row r="353" spans="1:6">
      <c r="A353" s="5">
        <v>2022</v>
      </c>
      <c r="B353" t="s">
        <v>27</v>
      </c>
      <c r="C353" t="s">
        <v>16</v>
      </c>
      <c r="D353">
        <v>8027</v>
      </c>
      <c r="E353">
        <v>39.47</v>
      </c>
      <c r="F353">
        <v>401.9</v>
      </c>
    </row>
    <row r="354" spans="1:6">
      <c r="A354" s="5">
        <v>2022</v>
      </c>
      <c r="B354" t="s">
        <v>27</v>
      </c>
      <c r="C354" t="s">
        <v>7</v>
      </c>
      <c r="D354">
        <v>5142</v>
      </c>
      <c r="E354">
        <v>32.31</v>
      </c>
      <c r="F354">
        <v>278.63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6674-FE0D-4903-895E-BBAA0807160B}">
  <dimension ref="A1:L354"/>
  <sheetViews>
    <sheetView topLeftCell="D1" zoomScaleNormal="100" workbookViewId="0">
      <selection activeCell="J4" sqref="J4"/>
    </sheetView>
  </sheetViews>
  <sheetFormatPr defaultColWidth="9" defaultRowHeight="14.5"/>
  <cols>
    <col min="1" max="1" width="17" customWidth="1"/>
    <col min="2" max="2" width="15.1796875" customWidth="1"/>
    <col min="3" max="3" width="16.90625" customWidth="1"/>
    <col min="4" max="4" width="24" customWidth="1"/>
    <col min="5" max="5" width="20.6328125" customWidth="1"/>
    <col min="6" max="6" width="14" customWidth="1"/>
    <col min="8" max="8" width="41.453125" customWidth="1"/>
    <col min="9" max="9" width="31.08984375" customWidth="1"/>
    <col min="10" max="10" width="24.54296875" customWidth="1"/>
    <col min="11" max="11" width="9.453125" bestFit="1" customWidth="1"/>
  </cols>
  <sheetData>
    <row r="1" spans="1:12" ht="19" thickBot="1">
      <c r="A1" s="3"/>
      <c r="B1" s="3"/>
      <c r="C1" s="3"/>
      <c r="D1" s="6" t="s">
        <v>28</v>
      </c>
      <c r="E1" s="7"/>
      <c r="F1" s="7"/>
      <c r="H1" s="11" t="s">
        <v>34</v>
      </c>
      <c r="J1" s="11" t="s">
        <v>63</v>
      </c>
      <c r="K1" s="2"/>
      <c r="L1" s="2"/>
    </row>
    <row r="3" spans="1:12" ht="15.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H3" s="12" t="s">
        <v>35</v>
      </c>
      <c r="I3" s="12" t="s">
        <v>36</v>
      </c>
      <c r="J3" s="2" t="s">
        <v>64</v>
      </c>
    </row>
    <row r="4" spans="1:12">
      <c r="A4" s="5">
        <v>2022</v>
      </c>
      <c r="B4" t="s">
        <v>6</v>
      </c>
      <c r="C4" t="s">
        <v>7</v>
      </c>
      <c r="D4">
        <v>8270</v>
      </c>
      <c r="E4">
        <v>37.979999999999997</v>
      </c>
      <c r="F4">
        <v>447.51</v>
      </c>
      <c r="H4" s="1">
        <f>CORREL(D4:D354,F4:F354)</f>
        <v>0.98043608578087516</v>
      </c>
      <c r="I4" s="1">
        <f>CORREL(E4:E354,F4:F354)</f>
        <v>-8.7793620117729634E-2</v>
      </c>
      <c r="J4" s="10">
        <f>RSQ(F4:F354,D4:D354)</f>
        <v>0.96125491830132359</v>
      </c>
    </row>
    <row r="5" spans="1:12">
      <c r="A5" s="5">
        <v>2022</v>
      </c>
      <c r="B5" t="s">
        <v>6</v>
      </c>
      <c r="C5" t="s">
        <v>8</v>
      </c>
      <c r="D5">
        <v>1860</v>
      </c>
      <c r="E5">
        <v>15.53</v>
      </c>
      <c r="F5">
        <v>164.08</v>
      </c>
    </row>
    <row r="6" spans="1:12" ht="15.5">
      <c r="A6" s="5">
        <v>2022</v>
      </c>
      <c r="B6" t="s">
        <v>6</v>
      </c>
      <c r="C6" t="s">
        <v>9</v>
      </c>
      <c r="D6">
        <v>6390</v>
      </c>
      <c r="E6">
        <v>15.31</v>
      </c>
      <c r="F6">
        <v>320.67</v>
      </c>
      <c r="J6" s="16" t="s">
        <v>65</v>
      </c>
    </row>
    <row r="7" spans="1:12">
      <c r="A7" s="5">
        <v>2022</v>
      </c>
      <c r="B7" t="s">
        <v>6</v>
      </c>
      <c r="C7" t="s">
        <v>10</v>
      </c>
      <c r="D7">
        <v>6191</v>
      </c>
      <c r="E7">
        <v>48.78</v>
      </c>
      <c r="F7">
        <v>278.29000000000002</v>
      </c>
      <c r="J7" s="10" t="s">
        <v>66</v>
      </c>
    </row>
    <row r="8" spans="1:12">
      <c r="A8" s="5">
        <v>2022</v>
      </c>
      <c r="B8" t="s">
        <v>6</v>
      </c>
      <c r="C8" t="s">
        <v>11</v>
      </c>
      <c r="D8">
        <v>6734</v>
      </c>
      <c r="E8">
        <v>38.58</v>
      </c>
      <c r="F8">
        <v>344.92</v>
      </c>
    </row>
    <row r="9" spans="1:12">
      <c r="A9" s="5">
        <v>2022</v>
      </c>
      <c r="B9" t="s">
        <v>6</v>
      </c>
      <c r="C9" t="s">
        <v>12</v>
      </c>
      <c r="D9">
        <v>7265</v>
      </c>
      <c r="E9">
        <v>11.64</v>
      </c>
      <c r="F9">
        <v>416.07</v>
      </c>
    </row>
    <row r="10" spans="1:12">
      <c r="A10" s="5">
        <v>2022</v>
      </c>
      <c r="B10" t="s">
        <v>6</v>
      </c>
      <c r="C10" t="s">
        <v>13</v>
      </c>
      <c r="D10">
        <v>1466</v>
      </c>
      <c r="E10">
        <v>25.95</v>
      </c>
      <c r="F10">
        <v>91.93</v>
      </c>
    </row>
    <row r="11" spans="1:12">
      <c r="A11" s="5">
        <v>2022</v>
      </c>
      <c r="B11" t="s">
        <v>6</v>
      </c>
      <c r="C11" t="s">
        <v>14</v>
      </c>
      <c r="D11">
        <v>5426</v>
      </c>
      <c r="E11">
        <v>27.34</v>
      </c>
      <c r="F11">
        <v>255.73</v>
      </c>
    </row>
    <row r="12" spans="1:12">
      <c r="A12" s="5">
        <v>2022</v>
      </c>
      <c r="B12" t="s">
        <v>6</v>
      </c>
      <c r="C12" t="s">
        <v>15</v>
      </c>
      <c r="D12">
        <v>6578</v>
      </c>
      <c r="E12">
        <v>39.76</v>
      </c>
      <c r="F12">
        <v>341.12</v>
      </c>
    </row>
    <row r="13" spans="1:12">
      <c r="A13" s="5">
        <v>2022</v>
      </c>
      <c r="B13" t="s">
        <v>6</v>
      </c>
      <c r="C13" t="s">
        <v>16</v>
      </c>
      <c r="D13">
        <v>9322</v>
      </c>
      <c r="E13">
        <v>20.03</v>
      </c>
      <c r="F13">
        <v>488.17</v>
      </c>
    </row>
    <row r="14" spans="1:12">
      <c r="A14" s="5">
        <v>2022</v>
      </c>
      <c r="B14" t="s">
        <v>6</v>
      </c>
      <c r="C14" t="s">
        <v>7</v>
      </c>
      <c r="D14">
        <v>2685</v>
      </c>
      <c r="E14">
        <v>17.37</v>
      </c>
      <c r="F14">
        <v>159.28</v>
      </c>
    </row>
    <row r="15" spans="1:12">
      <c r="A15" s="5">
        <v>2022</v>
      </c>
      <c r="B15" t="s">
        <v>6</v>
      </c>
      <c r="C15" t="s">
        <v>8</v>
      </c>
      <c r="D15">
        <v>1769</v>
      </c>
      <c r="E15">
        <v>13.23</v>
      </c>
      <c r="F15">
        <v>77.010000000000005</v>
      </c>
    </row>
    <row r="16" spans="1:12">
      <c r="A16" s="5">
        <v>2022</v>
      </c>
      <c r="B16" t="s">
        <v>6</v>
      </c>
      <c r="C16" t="s">
        <v>9</v>
      </c>
      <c r="D16">
        <v>7949</v>
      </c>
      <c r="E16">
        <v>27.13</v>
      </c>
      <c r="F16">
        <v>430.84</v>
      </c>
    </row>
    <row r="17" spans="1:6">
      <c r="A17" s="5">
        <v>2022</v>
      </c>
      <c r="B17" t="s">
        <v>6</v>
      </c>
      <c r="C17" t="s">
        <v>10</v>
      </c>
      <c r="D17">
        <v>3433</v>
      </c>
      <c r="E17">
        <v>37.54</v>
      </c>
      <c r="F17">
        <v>179.51</v>
      </c>
    </row>
    <row r="18" spans="1:6">
      <c r="A18" s="5">
        <v>2022</v>
      </c>
      <c r="B18" t="s">
        <v>6</v>
      </c>
      <c r="C18" t="s">
        <v>11</v>
      </c>
      <c r="D18">
        <v>6311</v>
      </c>
      <c r="E18">
        <v>12.33</v>
      </c>
      <c r="F18">
        <v>386.66</v>
      </c>
    </row>
    <row r="19" spans="1:6">
      <c r="A19" s="5">
        <v>2022</v>
      </c>
      <c r="B19" t="s">
        <v>6</v>
      </c>
      <c r="C19" t="s">
        <v>12</v>
      </c>
      <c r="D19">
        <v>6051</v>
      </c>
      <c r="E19">
        <v>46.61</v>
      </c>
      <c r="F19">
        <v>295.13</v>
      </c>
    </row>
    <row r="20" spans="1:6">
      <c r="A20" s="5">
        <v>2022</v>
      </c>
      <c r="B20" t="s">
        <v>6</v>
      </c>
      <c r="C20" t="s">
        <v>13</v>
      </c>
      <c r="D20">
        <v>7420</v>
      </c>
      <c r="E20">
        <v>27.69</v>
      </c>
      <c r="F20">
        <v>399.09</v>
      </c>
    </row>
    <row r="21" spans="1:6">
      <c r="A21" s="5">
        <v>2022</v>
      </c>
      <c r="B21" t="s">
        <v>6</v>
      </c>
      <c r="C21" t="s">
        <v>14</v>
      </c>
      <c r="D21">
        <v>2184</v>
      </c>
      <c r="E21">
        <v>19.59</v>
      </c>
      <c r="F21">
        <v>152.33000000000001</v>
      </c>
    </row>
    <row r="22" spans="1:6">
      <c r="A22" s="5">
        <v>2022</v>
      </c>
      <c r="B22" t="s">
        <v>6</v>
      </c>
      <c r="C22" t="s">
        <v>15</v>
      </c>
      <c r="D22">
        <v>5555</v>
      </c>
      <c r="E22">
        <v>13.75</v>
      </c>
      <c r="F22">
        <v>276.32</v>
      </c>
    </row>
    <row r="23" spans="1:6">
      <c r="A23" s="5">
        <v>2022</v>
      </c>
      <c r="B23" t="s">
        <v>6</v>
      </c>
      <c r="C23" t="s">
        <v>16</v>
      </c>
      <c r="D23">
        <v>4385</v>
      </c>
      <c r="E23">
        <v>17.309999999999999</v>
      </c>
      <c r="F23">
        <v>300.81</v>
      </c>
    </row>
    <row r="24" spans="1:6">
      <c r="A24" s="5">
        <v>2022</v>
      </c>
      <c r="B24" t="s">
        <v>6</v>
      </c>
      <c r="C24" t="s">
        <v>7</v>
      </c>
      <c r="D24">
        <v>7396</v>
      </c>
      <c r="E24">
        <v>47.38</v>
      </c>
      <c r="F24">
        <v>354.32</v>
      </c>
    </row>
    <row r="25" spans="1:6">
      <c r="A25" s="5">
        <v>2022</v>
      </c>
      <c r="B25" t="s">
        <v>6</v>
      </c>
      <c r="C25" t="s">
        <v>8</v>
      </c>
      <c r="D25">
        <v>9666</v>
      </c>
      <c r="E25">
        <v>35.53</v>
      </c>
      <c r="F25">
        <v>500.55</v>
      </c>
    </row>
    <row r="26" spans="1:6">
      <c r="A26" s="5">
        <v>2022</v>
      </c>
      <c r="B26" t="s">
        <v>6</v>
      </c>
      <c r="C26" t="s">
        <v>9</v>
      </c>
      <c r="D26">
        <v>3558</v>
      </c>
      <c r="E26">
        <v>30.67</v>
      </c>
      <c r="F26">
        <v>203.91</v>
      </c>
    </row>
    <row r="27" spans="1:6">
      <c r="A27" s="5">
        <v>2022</v>
      </c>
      <c r="B27" t="s">
        <v>6</v>
      </c>
      <c r="C27" t="s">
        <v>10</v>
      </c>
      <c r="D27">
        <v>8849</v>
      </c>
      <c r="E27">
        <v>36.28</v>
      </c>
      <c r="F27">
        <v>432.61</v>
      </c>
    </row>
    <row r="28" spans="1:6">
      <c r="A28" s="5">
        <v>2022</v>
      </c>
      <c r="B28" t="s">
        <v>6</v>
      </c>
      <c r="C28" t="s">
        <v>11</v>
      </c>
      <c r="D28">
        <v>3047</v>
      </c>
      <c r="E28">
        <v>27.43</v>
      </c>
      <c r="F28">
        <v>206.38</v>
      </c>
    </row>
    <row r="29" spans="1:6">
      <c r="A29" s="5">
        <v>2022</v>
      </c>
      <c r="B29" t="s">
        <v>6</v>
      </c>
      <c r="C29" t="s">
        <v>12</v>
      </c>
      <c r="D29">
        <v>3747</v>
      </c>
      <c r="E29">
        <v>39.200000000000003</v>
      </c>
      <c r="F29">
        <v>195.63</v>
      </c>
    </row>
    <row r="30" spans="1:6">
      <c r="A30" s="5">
        <v>2022</v>
      </c>
      <c r="B30" t="s">
        <v>6</v>
      </c>
      <c r="C30" t="s">
        <v>13</v>
      </c>
      <c r="D30">
        <v>1189</v>
      </c>
      <c r="E30">
        <v>11.91</v>
      </c>
      <c r="F30">
        <v>90.89</v>
      </c>
    </row>
    <row r="31" spans="1:6">
      <c r="A31" s="5">
        <v>2022</v>
      </c>
      <c r="B31" t="s">
        <v>6</v>
      </c>
      <c r="C31" t="s">
        <v>14</v>
      </c>
      <c r="D31">
        <v>3734</v>
      </c>
      <c r="E31">
        <v>32.64</v>
      </c>
      <c r="F31">
        <v>200.3</v>
      </c>
    </row>
    <row r="32" spans="1:6">
      <c r="A32" s="5">
        <v>2022</v>
      </c>
      <c r="B32" t="s">
        <v>6</v>
      </c>
      <c r="C32" t="s">
        <v>15</v>
      </c>
      <c r="D32">
        <v>4005</v>
      </c>
      <c r="E32">
        <v>16.350000000000001</v>
      </c>
      <c r="F32">
        <v>245.92</v>
      </c>
    </row>
    <row r="33" spans="1:6">
      <c r="A33" s="5">
        <v>2022</v>
      </c>
      <c r="B33" t="s">
        <v>6</v>
      </c>
      <c r="C33" t="s">
        <v>16</v>
      </c>
      <c r="D33">
        <v>5658</v>
      </c>
      <c r="E33">
        <v>14.81</v>
      </c>
      <c r="F33">
        <v>315.35000000000002</v>
      </c>
    </row>
    <row r="34" spans="1:6">
      <c r="A34" s="5">
        <v>2022</v>
      </c>
      <c r="B34" t="s">
        <v>6</v>
      </c>
      <c r="C34" t="s">
        <v>7</v>
      </c>
      <c r="D34">
        <v>2899</v>
      </c>
      <c r="E34">
        <v>23.68</v>
      </c>
      <c r="F34">
        <v>184.18</v>
      </c>
    </row>
    <row r="35" spans="1:6">
      <c r="A35" s="5">
        <v>2022</v>
      </c>
      <c r="B35" t="s">
        <v>17</v>
      </c>
      <c r="C35" t="s">
        <v>8</v>
      </c>
      <c r="D35">
        <v>8734</v>
      </c>
      <c r="E35">
        <v>13.67</v>
      </c>
      <c r="F35">
        <v>436.6</v>
      </c>
    </row>
    <row r="36" spans="1:6">
      <c r="A36" s="5">
        <v>2022</v>
      </c>
      <c r="B36" t="s">
        <v>17</v>
      </c>
      <c r="C36" t="s">
        <v>9</v>
      </c>
      <c r="D36">
        <v>2267</v>
      </c>
      <c r="E36">
        <v>13.77</v>
      </c>
      <c r="F36">
        <v>131.87</v>
      </c>
    </row>
    <row r="37" spans="1:6">
      <c r="A37" s="5">
        <v>2022</v>
      </c>
      <c r="B37" t="s">
        <v>17</v>
      </c>
      <c r="C37" t="s">
        <v>10</v>
      </c>
      <c r="D37">
        <v>2528</v>
      </c>
      <c r="E37">
        <v>22.46</v>
      </c>
      <c r="F37">
        <v>106.68</v>
      </c>
    </row>
    <row r="38" spans="1:6">
      <c r="A38" s="5">
        <v>2022</v>
      </c>
      <c r="B38" t="s">
        <v>17</v>
      </c>
      <c r="C38" t="s">
        <v>11</v>
      </c>
      <c r="D38">
        <v>4556</v>
      </c>
      <c r="E38">
        <v>49.18</v>
      </c>
      <c r="F38">
        <v>258.72000000000003</v>
      </c>
    </row>
    <row r="39" spans="1:6">
      <c r="A39" s="5">
        <v>2022</v>
      </c>
      <c r="B39" t="s">
        <v>17</v>
      </c>
      <c r="C39" t="s">
        <v>12</v>
      </c>
      <c r="D39">
        <v>4890</v>
      </c>
      <c r="E39">
        <v>17.010000000000002</v>
      </c>
      <c r="F39">
        <v>313.76</v>
      </c>
    </row>
    <row r="40" spans="1:6">
      <c r="A40" s="5">
        <v>2022</v>
      </c>
      <c r="B40" t="s">
        <v>17</v>
      </c>
      <c r="C40" t="s">
        <v>13</v>
      </c>
      <c r="D40">
        <v>9838</v>
      </c>
      <c r="E40">
        <v>10.69</v>
      </c>
      <c r="F40">
        <v>541.61</v>
      </c>
    </row>
    <row r="41" spans="1:6">
      <c r="A41" s="5">
        <v>2022</v>
      </c>
      <c r="B41" t="s">
        <v>17</v>
      </c>
      <c r="C41" t="s">
        <v>14</v>
      </c>
      <c r="D41">
        <v>6393</v>
      </c>
      <c r="E41">
        <v>40.53</v>
      </c>
      <c r="F41">
        <v>300.76</v>
      </c>
    </row>
    <row r="42" spans="1:6">
      <c r="A42" s="5">
        <v>2022</v>
      </c>
      <c r="B42" t="s">
        <v>17</v>
      </c>
      <c r="C42" t="s">
        <v>15</v>
      </c>
      <c r="D42">
        <v>9792</v>
      </c>
      <c r="E42">
        <v>42.28</v>
      </c>
      <c r="F42">
        <v>536.66999999999996</v>
      </c>
    </row>
    <row r="43" spans="1:6">
      <c r="A43" s="5">
        <v>2022</v>
      </c>
      <c r="B43" t="s">
        <v>17</v>
      </c>
      <c r="C43" t="s">
        <v>16</v>
      </c>
      <c r="D43">
        <v>9433</v>
      </c>
      <c r="E43">
        <v>23.85</v>
      </c>
      <c r="F43">
        <v>480.94</v>
      </c>
    </row>
    <row r="44" spans="1:6">
      <c r="A44" s="5">
        <v>2022</v>
      </c>
      <c r="B44" t="s">
        <v>17</v>
      </c>
      <c r="C44" t="s">
        <v>7</v>
      </c>
      <c r="D44">
        <v>8513</v>
      </c>
      <c r="E44">
        <v>28.59</v>
      </c>
      <c r="F44">
        <v>437.08</v>
      </c>
    </row>
    <row r="45" spans="1:6">
      <c r="A45" s="5">
        <v>2022</v>
      </c>
      <c r="B45" t="s">
        <v>17</v>
      </c>
      <c r="C45" t="s">
        <v>8</v>
      </c>
      <c r="D45">
        <v>3612</v>
      </c>
      <c r="E45">
        <v>35.99</v>
      </c>
      <c r="F45">
        <v>190.6</v>
      </c>
    </row>
    <row r="46" spans="1:6">
      <c r="A46" s="5">
        <v>2022</v>
      </c>
      <c r="B46" t="s">
        <v>17</v>
      </c>
      <c r="C46" t="s">
        <v>9</v>
      </c>
      <c r="D46">
        <v>8041</v>
      </c>
      <c r="E46">
        <v>11.92</v>
      </c>
      <c r="F46">
        <v>446.77</v>
      </c>
    </row>
    <row r="47" spans="1:6">
      <c r="A47" s="5">
        <v>2022</v>
      </c>
      <c r="B47" t="s">
        <v>17</v>
      </c>
      <c r="C47" t="s">
        <v>10</v>
      </c>
      <c r="D47">
        <v>7235</v>
      </c>
      <c r="E47">
        <v>47.97</v>
      </c>
      <c r="F47">
        <v>367.07</v>
      </c>
    </row>
    <row r="48" spans="1:6">
      <c r="A48" s="5">
        <v>2022</v>
      </c>
      <c r="B48" t="s">
        <v>17</v>
      </c>
      <c r="C48" t="s">
        <v>11</v>
      </c>
      <c r="D48">
        <v>6486</v>
      </c>
      <c r="E48">
        <v>45.47</v>
      </c>
      <c r="F48">
        <v>333.42</v>
      </c>
    </row>
    <row r="49" spans="1:6">
      <c r="A49" s="5">
        <v>2022</v>
      </c>
      <c r="B49" t="s">
        <v>17</v>
      </c>
      <c r="C49" t="s">
        <v>12</v>
      </c>
      <c r="D49">
        <v>8099</v>
      </c>
      <c r="E49">
        <v>20.440000000000001</v>
      </c>
      <c r="F49">
        <v>427.54</v>
      </c>
    </row>
    <row r="50" spans="1:6">
      <c r="A50" s="5">
        <v>2022</v>
      </c>
      <c r="B50" t="s">
        <v>17</v>
      </c>
      <c r="C50" t="s">
        <v>13</v>
      </c>
      <c r="D50">
        <v>1775</v>
      </c>
      <c r="E50">
        <v>10.61</v>
      </c>
      <c r="F50">
        <v>139.38</v>
      </c>
    </row>
    <row r="51" spans="1:6">
      <c r="A51" s="5">
        <v>2022</v>
      </c>
      <c r="B51" t="s">
        <v>17</v>
      </c>
      <c r="C51" t="s">
        <v>14</v>
      </c>
      <c r="D51">
        <v>9226</v>
      </c>
      <c r="E51">
        <v>47.34</v>
      </c>
      <c r="F51">
        <v>450.71</v>
      </c>
    </row>
    <row r="52" spans="1:6">
      <c r="A52" s="5">
        <v>2022</v>
      </c>
      <c r="B52" t="s">
        <v>17</v>
      </c>
      <c r="C52" t="s">
        <v>15</v>
      </c>
      <c r="D52">
        <v>4152</v>
      </c>
      <c r="E52">
        <v>30.04</v>
      </c>
      <c r="F52">
        <v>233.14</v>
      </c>
    </row>
    <row r="53" spans="1:6">
      <c r="A53" s="5">
        <v>2022</v>
      </c>
      <c r="B53" t="s">
        <v>17</v>
      </c>
      <c r="C53" t="s">
        <v>16</v>
      </c>
      <c r="D53">
        <v>2585</v>
      </c>
      <c r="E53">
        <v>31.58</v>
      </c>
      <c r="F53">
        <v>151.31</v>
      </c>
    </row>
    <row r="54" spans="1:6">
      <c r="A54" s="5">
        <v>2022</v>
      </c>
      <c r="B54" t="s">
        <v>17</v>
      </c>
      <c r="C54" t="s">
        <v>7</v>
      </c>
      <c r="D54">
        <v>4943</v>
      </c>
      <c r="E54">
        <v>37.36</v>
      </c>
      <c r="F54">
        <v>267.58</v>
      </c>
    </row>
    <row r="55" spans="1:6">
      <c r="A55" s="5">
        <v>2022</v>
      </c>
      <c r="B55" t="s">
        <v>17</v>
      </c>
      <c r="C55" t="s">
        <v>8</v>
      </c>
      <c r="D55">
        <v>8555</v>
      </c>
      <c r="E55">
        <v>34.630000000000003</v>
      </c>
      <c r="F55">
        <v>448.95</v>
      </c>
    </row>
    <row r="56" spans="1:6">
      <c r="A56" s="5">
        <v>2022</v>
      </c>
      <c r="B56" t="s">
        <v>17</v>
      </c>
      <c r="C56" t="s">
        <v>9</v>
      </c>
      <c r="D56">
        <v>4073</v>
      </c>
      <c r="E56">
        <v>47.76</v>
      </c>
      <c r="F56">
        <v>187.49</v>
      </c>
    </row>
    <row r="57" spans="1:6">
      <c r="A57" s="5">
        <v>2022</v>
      </c>
      <c r="B57" t="s">
        <v>17</v>
      </c>
      <c r="C57" t="s">
        <v>10</v>
      </c>
      <c r="D57">
        <v>2021</v>
      </c>
      <c r="E57">
        <v>47.77</v>
      </c>
      <c r="F57">
        <v>102.9</v>
      </c>
    </row>
    <row r="58" spans="1:6">
      <c r="A58" s="5">
        <v>2022</v>
      </c>
      <c r="B58" t="s">
        <v>17</v>
      </c>
      <c r="C58" t="s">
        <v>11</v>
      </c>
      <c r="D58">
        <v>4843</v>
      </c>
      <c r="E58">
        <v>44.69</v>
      </c>
      <c r="F58">
        <v>251.59</v>
      </c>
    </row>
    <row r="59" spans="1:6">
      <c r="A59" s="5">
        <v>2022</v>
      </c>
      <c r="B59" t="s">
        <v>17</v>
      </c>
      <c r="C59" t="s">
        <v>12</v>
      </c>
      <c r="D59">
        <v>8989</v>
      </c>
      <c r="E59">
        <v>35.46</v>
      </c>
      <c r="F59">
        <v>431.08</v>
      </c>
    </row>
    <row r="60" spans="1:6">
      <c r="A60" s="5">
        <v>2022</v>
      </c>
      <c r="B60" t="s">
        <v>17</v>
      </c>
      <c r="C60" t="s">
        <v>13</v>
      </c>
      <c r="D60">
        <v>7873</v>
      </c>
      <c r="E60">
        <v>42.04</v>
      </c>
      <c r="F60">
        <v>387.72</v>
      </c>
    </row>
    <row r="61" spans="1:6">
      <c r="A61" s="5">
        <v>2022</v>
      </c>
      <c r="B61" t="s">
        <v>17</v>
      </c>
      <c r="C61" t="s">
        <v>14</v>
      </c>
      <c r="D61">
        <v>6675</v>
      </c>
      <c r="E61">
        <v>37.090000000000003</v>
      </c>
      <c r="F61">
        <v>351.41</v>
      </c>
    </row>
    <row r="62" spans="1:6">
      <c r="A62" s="5">
        <v>2022</v>
      </c>
      <c r="B62" t="s">
        <v>17</v>
      </c>
      <c r="C62" t="s">
        <v>15</v>
      </c>
      <c r="D62">
        <v>1161</v>
      </c>
      <c r="E62">
        <v>32.93</v>
      </c>
      <c r="F62">
        <v>102.71</v>
      </c>
    </row>
    <row r="63" spans="1:6">
      <c r="A63" s="5">
        <v>2022</v>
      </c>
      <c r="B63" t="s">
        <v>18</v>
      </c>
      <c r="C63" t="s">
        <v>16</v>
      </c>
      <c r="D63">
        <v>5297</v>
      </c>
      <c r="E63">
        <v>15.14</v>
      </c>
      <c r="F63">
        <v>313.18</v>
      </c>
    </row>
    <row r="64" spans="1:6">
      <c r="A64" s="5">
        <v>2022</v>
      </c>
      <c r="B64" t="s">
        <v>18</v>
      </c>
      <c r="C64" t="s">
        <v>7</v>
      </c>
      <c r="D64">
        <v>1995</v>
      </c>
      <c r="E64">
        <v>42.45</v>
      </c>
      <c r="F64">
        <v>134.26</v>
      </c>
    </row>
    <row r="65" spans="1:6">
      <c r="A65" s="5">
        <v>2022</v>
      </c>
      <c r="B65" t="s">
        <v>18</v>
      </c>
      <c r="C65" t="s">
        <v>8</v>
      </c>
      <c r="D65">
        <v>8629</v>
      </c>
      <c r="E65">
        <v>42.83</v>
      </c>
      <c r="F65">
        <v>422.09</v>
      </c>
    </row>
    <row r="66" spans="1:6">
      <c r="A66" s="5">
        <v>2022</v>
      </c>
      <c r="B66" t="s">
        <v>18</v>
      </c>
      <c r="C66" t="s">
        <v>9</v>
      </c>
      <c r="D66">
        <v>2016</v>
      </c>
      <c r="E66">
        <v>35.04</v>
      </c>
      <c r="F66">
        <v>113.76</v>
      </c>
    </row>
    <row r="67" spans="1:6">
      <c r="A67" s="5">
        <v>2022</v>
      </c>
      <c r="B67" t="s">
        <v>18</v>
      </c>
      <c r="C67" t="s">
        <v>10</v>
      </c>
      <c r="D67">
        <v>8869</v>
      </c>
      <c r="E67">
        <v>42.82</v>
      </c>
      <c r="F67">
        <v>458.18</v>
      </c>
    </row>
    <row r="68" spans="1:6">
      <c r="A68" s="5">
        <v>2022</v>
      </c>
      <c r="B68" t="s">
        <v>18</v>
      </c>
      <c r="C68" t="s">
        <v>11</v>
      </c>
      <c r="D68">
        <v>7439</v>
      </c>
      <c r="E68">
        <v>36.06</v>
      </c>
      <c r="F68">
        <v>332.15</v>
      </c>
    </row>
    <row r="69" spans="1:6">
      <c r="A69" s="5">
        <v>2022</v>
      </c>
      <c r="B69" t="s">
        <v>18</v>
      </c>
      <c r="C69" t="s">
        <v>12</v>
      </c>
      <c r="D69">
        <v>8892</v>
      </c>
      <c r="E69">
        <v>18.27</v>
      </c>
      <c r="F69">
        <v>502.9</v>
      </c>
    </row>
    <row r="70" spans="1:6">
      <c r="A70" s="5">
        <v>2022</v>
      </c>
      <c r="B70" t="s">
        <v>18</v>
      </c>
      <c r="C70" t="s">
        <v>13</v>
      </c>
      <c r="D70">
        <v>7863</v>
      </c>
      <c r="E70">
        <v>20.96</v>
      </c>
      <c r="F70">
        <v>380.78</v>
      </c>
    </row>
    <row r="71" spans="1:6">
      <c r="A71" s="5">
        <v>2022</v>
      </c>
      <c r="B71" t="s">
        <v>18</v>
      </c>
      <c r="C71" t="s">
        <v>14</v>
      </c>
      <c r="D71">
        <v>8916</v>
      </c>
      <c r="E71">
        <v>18.579999999999998</v>
      </c>
      <c r="F71">
        <v>493.44</v>
      </c>
    </row>
    <row r="72" spans="1:6">
      <c r="A72" s="5">
        <v>2022</v>
      </c>
      <c r="B72" t="s">
        <v>18</v>
      </c>
      <c r="C72" t="s">
        <v>15</v>
      </c>
      <c r="D72">
        <v>9529</v>
      </c>
      <c r="E72">
        <v>25.09</v>
      </c>
      <c r="F72">
        <v>510.08</v>
      </c>
    </row>
    <row r="73" spans="1:6">
      <c r="A73" s="5">
        <v>2022</v>
      </c>
      <c r="B73" t="s">
        <v>18</v>
      </c>
      <c r="C73" t="s">
        <v>16</v>
      </c>
      <c r="D73">
        <v>1878</v>
      </c>
      <c r="E73">
        <v>11.56</v>
      </c>
      <c r="F73">
        <v>83.24</v>
      </c>
    </row>
    <row r="74" spans="1:6">
      <c r="A74" s="5">
        <v>2022</v>
      </c>
      <c r="B74" t="s">
        <v>18</v>
      </c>
      <c r="C74" t="s">
        <v>7</v>
      </c>
      <c r="D74">
        <v>5887</v>
      </c>
      <c r="E74">
        <v>34.729999999999997</v>
      </c>
      <c r="F74">
        <v>256.89</v>
      </c>
    </row>
    <row r="75" spans="1:6">
      <c r="A75" s="5">
        <v>2022</v>
      </c>
      <c r="B75" t="s">
        <v>18</v>
      </c>
      <c r="C75" t="s">
        <v>8</v>
      </c>
      <c r="D75">
        <v>5859</v>
      </c>
      <c r="E75">
        <v>23.46</v>
      </c>
      <c r="F75">
        <v>343.45</v>
      </c>
    </row>
    <row r="76" spans="1:6">
      <c r="A76" s="5">
        <v>2022</v>
      </c>
      <c r="B76" t="s">
        <v>18</v>
      </c>
      <c r="C76" t="s">
        <v>9</v>
      </c>
      <c r="D76">
        <v>7331</v>
      </c>
      <c r="E76">
        <v>36.229999999999997</v>
      </c>
      <c r="F76">
        <v>397.37</v>
      </c>
    </row>
    <row r="77" spans="1:6">
      <c r="A77" s="5">
        <v>2022</v>
      </c>
      <c r="B77" t="s">
        <v>18</v>
      </c>
      <c r="C77" t="s">
        <v>10</v>
      </c>
      <c r="D77">
        <v>9571</v>
      </c>
      <c r="E77">
        <v>25.42</v>
      </c>
      <c r="F77">
        <v>480.43</v>
      </c>
    </row>
    <row r="78" spans="1:6">
      <c r="A78" s="5">
        <v>2022</v>
      </c>
      <c r="B78" t="s">
        <v>18</v>
      </c>
      <c r="C78" t="s">
        <v>11</v>
      </c>
      <c r="D78">
        <v>9684</v>
      </c>
      <c r="E78">
        <v>37.26</v>
      </c>
      <c r="F78">
        <v>471.84</v>
      </c>
    </row>
    <row r="79" spans="1:6">
      <c r="A79" s="5">
        <v>2022</v>
      </c>
      <c r="B79" t="s">
        <v>18</v>
      </c>
      <c r="C79" t="s">
        <v>12</v>
      </c>
      <c r="D79">
        <v>8208</v>
      </c>
      <c r="E79">
        <v>23.62</v>
      </c>
      <c r="F79">
        <v>442.3</v>
      </c>
    </row>
    <row r="80" spans="1:6">
      <c r="A80" s="5">
        <v>2022</v>
      </c>
      <c r="B80" t="s">
        <v>18</v>
      </c>
      <c r="C80" t="s">
        <v>13</v>
      </c>
      <c r="D80">
        <v>6276</v>
      </c>
      <c r="E80">
        <v>20.43</v>
      </c>
      <c r="F80">
        <v>339.03</v>
      </c>
    </row>
    <row r="81" spans="1:6">
      <c r="A81" s="5">
        <v>2022</v>
      </c>
      <c r="B81" t="s">
        <v>18</v>
      </c>
      <c r="C81" t="s">
        <v>14</v>
      </c>
      <c r="D81">
        <v>3062</v>
      </c>
      <c r="E81">
        <v>29.84</v>
      </c>
      <c r="F81">
        <v>188.38</v>
      </c>
    </row>
    <row r="82" spans="1:6">
      <c r="A82" s="5">
        <v>2022</v>
      </c>
      <c r="B82" t="s">
        <v>18</v>
      </c>
      <c r="C82" t="s">
        <v>15</v>
      </c>
      <c r="D82">
        <v>1064</v>
      </c>
      <c r="E82">
        <v>37.72</v>
      </c>
      <c r="F82">
        <v>67.53</v>
      </c>
    </row>
    <row r="83" spans="1:6">
      <c r="A83" s="5">
        <v>2022</v>
      </c>
      <c r="B83" t="s">
        <v>18</v>
      </c>
      <c r="C83" t="s">
        <v>16</v>
      </c>
      <c r="D83">
        <v>9006</v>
      </c>
      <c r="E83">
        <v>23.93</v>
      </c>
      <c r="F83">
        <v>503.24</v>
      </c>
    </row>
    <row r="84" spans="1:6">
      <c r="A84" s="5">
        <v>2022</v>
      </c>
      <c r="B84" t="s">
        <v>18</v>
      </c>
      <c r="C84" t="s">
        <v>7</v>
      </c>
      <c r="D84">
        <v>3568</v>
      </c>
      <c r="E84">
        <v>47.47</v>
      </c>
      <c r="F84">
        <v>190.84</v>
      </c>
    </row>
    <row r="85" spans="1:6">
      <c r="A85" s="5">
        <v>2022</v>
      </c>
      <c r="B85" t="s">
        <v>18</v>
      </c>
      <c r="C85" t="s">
        <v>8</v>
      </c>
      <c r="D85">
        <v>6463</v>
      </c>
      <c r="E85">
        <v>11.57</v>
      </c>
      <c r="F85">
        <v>373.68</v>
      </c>
    </row>
    <row r="86" spans="1:6">
      <c r="A86" s="5">
        <v>2022</v>
      </c>
      <c r="B86" t="s">
        <v>18</v>
      </c>
      <c r="C86" t="s">
        <v>9</v>
      </c>
      <c r="D86">
        <v>3027</v>
      </c>
      <c r="E86">
        <v>26.72</v>
      </c>
      <c r="F86">
        <v>162.25</v>
      </c>
    </row>
    <row r="87" spans="1:6">
      <c r="A87" s="5">
        <v>2022</v>
      </c>
      <c r="B87" t="s">
        <v>18</v>
      </c>
      <c r="C87" t="s">
        <v>10</v>
      </c>
      <c r="D87">
        <v>3695</v>
      </c>
      <c r="E87">
        <v>48.7</v>
      </c>
      <c r="F87">
        <v>167.8</v>
      </c>
    </row>
    <row r="88" spans="1:6">
      <c r="A88" s="5">
        <v>2022</v>
      </c>
      <c r="B88" t="s">
        <v>18</v>
      </c>
      <c r="C88" t="s">
        <v>11</v>
      </c>
      <c r="D88">
        <v>6258</v>
      </c>
      <c r="E88">
        <v>31.92</v>
      </c>
      <c r="F88">
        <v>323.56</v>
      </c>
    </row>
    <row r="89" spans="1:6">
      <c r="A89" s="5">
        <v>2022</v>
      </c>
      <c r="B89" t="s">
        <v>18</v>
      </c>
      <c r="C89" t="s">
        <v>12</v>
      </c>
      <c r="D89">
        <v>6618</v>
      </c>
      <c r="E89">
        <v>26.94</v>
      </c>
      <c r="F89">
        <v>385.39</v>
      </c>
    </row>
    <row r="90" spans="1:6">
      <c r="A90" s="5">
        <v>2022</v>
      </c>
      <c r="B90" t="s">
        <v>18</v>
      </c>
      <c r="C90" t="s">
        <v>13</v>
      </c>
      <c r="D90">
        <v>7736</v>
      </c>
      <c r="E90">
        <v>32.74</v>
      </c>
      <c r="F90">
        <v>389.39</v>
      </c>
    </row>
    <row r="91" spans="1:6">
      <c r="A91" s="5">
        <v>2022</v>
      </c>
      <c r="B91" t="s">
        <v>18</v>
      </c>
      <c r="C91" t="s">
        <v>14</v>
      </c>
      <c r="D91">
        <v>1391</v>
      </c>
      <c r="E91">
        <v>33.04</v>
      </c>
      <c r="F91">
        <v>85.12</v>
      </c>
    </row>
    <row r="92" spans="1:6">
      <c r="A92" s="5">
        <v>2022</v>
      </c>
      <c r="B92" t="s">
        <v>18</v>
      </c>
      <c r="C92" t="s">
        <v>15</v>
      </c>
      <c r="D92">
        <v>6892</v>
      </c>
      <c r="E92">
        <v>39.270000000000003</v>
      </c>
      <c r="F92">
        <v>302.58</v>
      </c>
    </row>
    <row r="93" spans="1:6">
      <c r="A93" s="5">
        <v>2022</v>
      </c>
      <c r="B93" t="s">
        <v>18</v>
      </c>
      <c r="C93" t="s">
        <v>16</v>
      </c>
      <c r="D93">
        <v>4561</v>
      </c>
      <c r="E93">
        <v>15.11</v>
      </c>
      <c r="F93">
        <v>273.44</v>
      </c>
    </row>
    <row r="94" spans="1:6">
      <c r="A94" s="5">
        <v>2022</v>
      </c>
      <c r="B94" t="s">
        <v>19</v>
      </c>
      <c r="C94" t="s">
        <v>7</v>
      </c>
      <c r="D94">
        <v>7184</v>
      </c>
      <c r="E94">
        <v>20</v>
      </c>
      <c r="F94">
        <v>430.34</v>
      </c>
    </row>
    <row r="95" spans="1:6">
      <c r="A95" s="5">
        <v>2022</v>
      </c>
      <c r="B95" t="s">
        <v>19</v>
      </c>
      <c r="C95" t="s">
        <v>8</v>
      </c>
      <c r="D95">
        <v>4099</v>
      </c>
      <c r="E95">
        <v>33.22</v>
      </c>
      <c r="F95">
        <v>196.41</v>
      </c>
    </row>
    <row r="96" spans="1:6">
      <c r="A96" s="5">
        <v>2022</v>
      </c>
      <c r="B96" t="s">
        <v>19</v>
      </c>
      <c r="C96" t="s">
        <v>9</v>
      </c>
      <c r="D96">
        <v>7278</v>
      </c>
      <c r="E96">
        <v>44.68</v>
      </c>
      <c r="F96">
        <v>423.77</v>
      </c>
    </row>
    <row r="97" spans="1:6">
      <c r="A97" s="5">
        <v>2022</v>
      </c>
      <c r="B97" t="s">
        <v>19</v>
      </c>
      <c r="C97" t="s">
        <v>10</v>
      </c>
      <c r="D97">
        <v>9392</v>
      </c>
      <c r="E97">
        <v>32.47</v>
      </c>
      <c r="F97">
        <v>484.28</v>
      </c>
    </row>
    <row r="98" spans="1:6">
      <c r="A98" s="5">
        <v>2022</v>
      </c>
      <c r="B98" t="s">
        <v>19</v>
      </c>
      <c r="C98" t="s">
        <v>11</v>
      </c>
      <c r="D98">
        <v>4104</v>
      </c>
      <c r="E98">
        <v>19.54</v>
      </c>
      <c r="F98">
        <v>180.29</v>
      </c>
    </row>
    <row r="99" spans="1:6">
      <c r="A99" s="5">
        <v>2022</v>
      </c>
      <c r="B99" t="s">
        <v>19</v>
      </c>
      <c r="C99" t="s">
        <v>12</v>
      </c>
      <c r="D99">
        <v>8215</v>
      </c>
      <c r="E99">
        <v>37.19</v>
      </c>
      <c r="F99">
        <v>408.41</v>
      </c>
    </row>
    <row r="100" spans="1:6">
      <c r="A100" s="5">
        <v>2022</v>
      </c>
      <c r="B100" t="s">
        <v>19</v>
      </c>
      <c r="C100" t="s">
        <v>13</v>
      </c>
      <c r="D100">
        <v>3454</v>
      </c>
      <c r="E100">
        <v>39.6</v>
      </c>
      <c r="F100">
        <v>201.79</v>
      </c>
    </row>
    <row r="101" spans="1:6">
      <c r="A101" s="5">
        <v>2022</v>
      </c>
      <c r="B101" t="s">
        <v>19</v>
      </c>
      <c r="C101" t="s">
        <v>14</v>
      </c>
      <c r="D101">
        <v>9996</v>
      </c>
      <c r="E101">
        <v>19.53</v>
      </c>
      <c r="F101">
        <v>566.35</v>
      </c>
    </row>
    <row r="102" spans="1:6">
      <c r="A102" s="5">
        <v>2022</v>
      </c>
      <c r="B102" t="s">
        <v>19</v>
      </c>
      <c r="C102" t="s">
        <v>15</v>
      </c>
      <c r="D102">
        <v>3731</v>
      </c>
      <c r="E102">
        <v>25.11</v>
      </c>
      <c r="F102">
        <v>220.78</v>
      </c>
    </row>
    <row r="103" spans="1:6">
      <c r="A103" s="5">
        <v>2022</v>
      </c>
      <c r="B103" t="s">
        <v>19</v>
      </c>
      <c r="C103" t="s">
        <v>16</v>
      </c>
      <c r="D103">
        <v>9154</v>
      </c>
      <c r="E103">
        <v>31.37</v>
      </c>
      <c r="F103">
        <v>501.4</v>
      </c>
    </row>
    <row r="104" spans="1:6">
      <c r="A104" s="5">
        <v>2022</v>
      </c>
      <c r="B104" t="s">
        <v>19</v>
      </c>
      <c r="C104" t="s">
        <v>7</v>
      </c>
      <c r="D104">
        <v>6056</v>
      </c>
      <c r="E104">
        <v>29.86</v>
      </c>
      <c r="F104">
        <v>293.41000000000003</v>
      </c>
    </row>
    <row r="105" spans="1:6">
      <c r="A105" s="5">
        <v>2022</v>
      </c>
      <c r="B105" t="s">
        <v>19</v>
      </c>
      <c r="C105" t="s">
        <v>8</v>
      </c>
      <c r="D105">
        <v>9110</v>
      </c>
      <c r="E105">
        <v>25.58</v>
      </c>
      <c r="F105">
        <v>461.19</v>
      </c>
    </row>
    <row r="106" spans="1:6">
      <c r="A106" s="5">
        <v>2022</v>
      </c>
      <c r="B106" t="s">
        <v>19</v>
      </c>
      <c r="C106" t="s">
        <v>9</v>
      </c>
      <c r="D106">
        <v>4840</v>
      </c>
      <c r="E106">
        <v>21.91</v>
      </c>
      <c r="F106">
        <v>232.12</v>
      </c>
    </row>
    <row r="107" spans="1:6">
      <c r="A107" s="5">
        <v>2022</v>
      </c>
      <c r="B107" t="s">
        <v>19</v>
      </c>
      <c r="C107" t="s">
        <v>10</v>
      </c>
      <c r="D107">
        <v>2028</v>
      </c>
      <c r="E107">
        <v>14</v>
      </c>
      <c r="F107">
        <v>122.5</v>
      </c>
    </row>
    <row r="108" spans="1:6">
      <c r="A108" s="5">
        <v>2022</v>
      </c>
      <c r="B108" t="s">
        <v>19</v>
      </c>
      <c r="C108" t="s">
        <v>11</v>
      </c>
      <c r="D108">
        <v>8385</v>
      </c>
      <c r="E108">
        <v>12.14</v>
      </c>
      <c r="F108">
        <v>469.92</v>
      </c>
    </row>
    <row r="109" spans="1:6">
      <c r="A109" s="5">
        <v>2022</v>
      </c>
      <c r="B109" t="s">
        <v>19</v>
      </c>
      <c r="C109" t="s">
        <v>12</v>
      </c>
      <c r="D109">
        <v>1502</v>
      </c>
      <c r="E109">
        <v>48.34</v>
      </c>
      <c r="F109">
        <v>71.34</v>
      </c>
    </row>
    <row r="110" spans="1:6">
      <c r="A110" s="5">
        <v>2022</v>
      </c>
      <c r="B110" t="s">
        <v>19</v>
      </c>
      <c r="C110" t="s">
        <v>13</v>
      </c>
      <c r="D110">
        <v>7910</v>
      </c>
      <c r="E110">
        <v>43.89</v>
      </c>
      <c r="F110">
        <v>410.19</v>
      </c>
    </row>
    <row r="111" spans="1:6">
      <c r="A111" s="5">
        <v>2022</v>
      </c>
      <c r="B111" t="s">
        <v>19</v>
      </c>
      <c r="C111" t="s">
        <v>14</v>
      </c>
      <c r="D111">
        <v>7938</v>
      </c>
      <c r="E111">
        <v>24.2</v>
      </c>
      <c r="F111">
        <v>399.13</v>
      </c>
    </row>
    <row r="112" spans="1:6">
      <c r="A112" s="5">
        <v>2022</v>
      </c>
      <c r="B112" t="s">
        <v>19</v>
      </c>
      <c r="C112" t="s">
        <v>15</v>
      </c>
      <c r="D112">
        <v>5488</v>
      </c>
      <c r="E112">
        <v>48.27</v>
      </c>
      <c r="F112">
        <v>248.96</v>
      </c>
    </row>
    <row r="113" spans="1:6">
      <c r="A113" s="5">
        <v>2022</v>
      </c>
      <c r="B113" t="s">
        <v>19</v>
      </c>
      <c r="C113" t="s">
        <v>16</v>
      </c>
      <c r="D113">
        <v>1206</v>
      </c>
      <c r="E113">
        <v>37.07</v>
      </c>
      <c r="F113">
        <v>69.91</v>
      </c>
    </row>
    <row r="114" spans="1:6">
      <c r="A114" s="5">
        <v>2022</v>
      </c>
      <c r="B114" t="s">
        <v>19</v>
      </c>
      <c r="C114" t="s">
        <v>7</v>
      </c>
      <c r="D114">
        <v>6134</v>
      </c>
      <c r="E114">
        <v>29.3</v>
      </c>
      <c r="F114">
        <v>309.49</v>
      </c>
    </row>
    <row r="115" spans="1:6">
      <c r="A115" s="5">
        <v>2022</v>
      </c>
      <c r="B115" t="s">
        <v>19</v>
      </c>
      <c r="C115" t="s">
        <v>8</v>
      </c>
      <c r="D115">
        <v>6977</v>
      </c>
      <c r="E115">
        <v>29.72</v>
      </c>
      <c r="F115">
        <v>389.22</v>
      </c>
    </row>
    <row r="116" spans="1:6">
      <c r="A116" s="5">
        <v>2022</v>
      </c>
      <c r="B116" t="s">
        <v>19</v>
      </c>
      <c r="C116" t="s">
        <v>9</v>
      </c>
      <c r="D116">
        <v>8721</v>
      </c>
      <c r="E116">
        <v>13.33</v>
      </c>
      <c r="F116">
        <v>457.5</v>
      </c>
    </row>
    <row r="117" spans="1:6">
      <c r="A117" s="5">
        <v>2022</v>
      </c>
      <c r="B117" t="s">
        <v>19</v>
      </c>
      <c r="C117" t="s">
        <v>10</v>
      </c>
      <c r="D117">
        <v>8035</v>
      </c>
      <c r="E117">
        <v>13.67</v>
      </c>
      <c r="F117">
        <v>425.44</v>
      </c>
    </row>
    <row r="118" spans="1:6">
      <c r="A118" s="5">
        <v>2022</v>
      </c>
      <c r="B118" t="s">
        <v>19</v>
      </c>
      <c r="C118" t="s">
        <v>11</v>
      </c>
      <c r="D118">
        <v>2484</v>
      </c>
      <c r="E118">
        <v>34.1</v>
      </c>
      <c r="F118">
        <v>141.66</v>
      </c>
    </row>
    <row r="119" spans="1:6">
      <c r="A119" s="5">
        <v>2022</v>
      </c>
      <c r="B119" t="s">
        <v>19</v>
      </c>
      <c r="C119" t="s">
        <v>12</v>
      </c>
      <c r="D119">
        <v>8858</v>
      </c>
      <c r="E119">
        <v>32.15</v>
      </c>
      <c r="F119">
        <v>446.54</v>
      </c>
    </row>
    <row r="120" spans="1:6">
      <c r="A120" s="5">
        <v>2022</v>
      </c>
      <c r="B120" t="s">
        <v>19</v>
      </c>
      <c r="C120" t="s">
        <v>13</v>
      </c>
      <c r="D120">
        <v>1863</v>
      </c>
      <c r="E120">
        <v>18.510000000000002</v>
      </c>
      <c r="F120">
        <v>96.24</v>
      </c>
    </row>
    <row r="121" spans="1:6">
      <c r="A121" s="5">
        <v>2022</v>
      </c>
      <c r="B121" t="s">
        <v>19</v>
      </c>
      <c r="C121" t="s">
        <v>14</v>
      </c>
      <c r="D121">
        <v>3790</v>
      </c>
      <c r="E121">
        <v>47.85</v>
      </c>
      <c r="F121">
        <v>160.1</v>
      </c>
    </row>
    <row r="122" spans="1:6">
      <c r="A122" s="5">
        <v>2022</v>
      </c>
      <c r="B122" t="s">
        <v>19</v>
      </c>
      <c r="C122" t="s">
        <v>15</v>
      </c>
      <c r="D122">
        <v>8408</v>
      </c>
      <c r="E122">
        <v>41.25</v>
      </c>
      <c r="F122">
        <v>431.65</v>
      </c>
    </row>
    <row r="123" spans="1:6">
      <c r="A123" s="5">
        <v>2022</v>
      </c>
      <c r="B123" t="s">
        <v>19</v>
      </c>
      <c r="C123" t="s">
        <v>16</v>
      </c>
      <c r="D123">
        <v>9755</v>
      </c>
      <c r="E123">
        <v>14.54</v>
      </c>
      <c r="F123">
        <v>493.13</v>
      </c>
    </row>
    <row r="124" spans="1:6">
      <c r="A124" s="5">
        <v>2022</v>
      </c>
      <c r="B124" t="s">
        <v>20</v>
      </c>
      <c r="C124" t="s">
        <v>7</v>
      </c>
      <c r="D124">
        <v>6116</v>
      </c>
      <c r="E124">
        <v>47.24</v>
      </c>
      <c r="F124">
        <v>327.06</v>
      </c>
    </row>
    <row r="125" spans="1:6">
      <c r="A125" s="5">
        <v>2022</v>
      </c>
      <c r="B125" t="s">
        <v>20</v>
      </c>
      <c r="C125" t="s">
        <v>8</v>
      </c>
      <c r="D125">
        <v>7019</v>
      </c>
      <c r="E125">
        <v>48.97</v>
      </c>
      <c r="F125">
        <v>328.38</v>
      </c>
    </row>
    <row r="126" spans="1:6">
      <c r="A126" s="5">
        <v>2022</v>
      </c>
      <c r="B126" t="s">
        <v>20</v>
      </c>
      <c r="C126" t="s">
        <v>9</v>
      </c>
      <c r="D126">
        <v>2757</v>
      </c>
      <c r="E126">
        <v>49.84</v>
      </c>
      <c r="F126">
        <v>140.37</v>
      </c>
    </row>
    <row r="127" spans="1:6">
      <c r="A127" s="5">
        <v>2022</v>
      </c>
      <c r="B127" t="s">
        <v>20</v>
      </c>
      <c r="C127" t="s">
        <v>10</v>
      </c>
      <c r="D127">
        <v>8574</v>
      </c>
      <c r="E127">
        <v>12.23</v>
      </c>
      <c r="F127">
        <v>451.41</v>
      </c>
    </row>
    <row r="128" spans="1:6">
      <c r="A128" s="5">
        <v>2022</v>
      </c>
      <c r="B128" t="s">
        <v>20</v>
      </c>
      <c r="C128" t="s">
        <v>11</v>
      </c>
      <c r="D128">
        <v>7374</v>
      </c>
      <c r="E128">
        <v>39.479999999999997</v>
      </c>
      <c r="F128">
        <v>353.02</v>
      </c>
    </row>
    <row r="129" spans="1:6">
      <c r="A129" s="5">
        <v>2022</v>
      </c>
      <c r="B129" t="s">
        <v>20</v>
      </c>
      <c r="C129" t="s">
        <v>12</v>
      </c>
      <c r="D129">
        <v>7892</v>
      </c>
      <c r="E129">
        <v>31.84</v>
      </c>
      <c r="F129">
        <v>411.32</v>
      </c>
    </row>
    <row r="130" spans="1:6">
      <c r="A130" s="5">
        <v>2022</v>
      </c>
      <c r="B130" t="s">
        <v>20</v>
      </c>
      <c r="C130" t="s">
        <v>13</v>
      </c>
      <c r="D130">
        <v>2678</v>
      </c>
      <c r="E130">
        <v>38.229999999999997</v>
      </c>
      <c r="F130">
        <v>159.06</v>
      </c>
    </row>
    <row r="131" spans="1:6">
      <c r="A131" s="5">
        <v>2022</v>
      </c>
      <c r="B131" t="s">
        <v>20</v>
      </c>
      <c r="C131" t="s">
        <v>14</v>
      </c>
      <c r="D131">
        <v>4242</v>
      </c>
      <c r="E131">
        <v>48.75</v>
      </c>
      <c r="F131">
        <v>198.66</v>
      </c>
    </row>
    <row r="132" spans="1:6">
      <c r="A132" s="5">
        <v>2022</v>
      </c>
      <c r="B132" t="s">
        <v>20</v>
      </c>
      <c r="C132" t="s">
        <v>15</v>
      </c>
      <c r="D132">
        <v>5636</v>
      </c>
      <c r="E132">
        <v>37.520000000000003</v>
      </c>
      <c r="F132">
        <v>285.47000000000003</v>
      </c>
    </row>
    <row r="133" spans="1:6">
      <c r="A133" s="5">
        <v>2022</v>
      </c>
      <c r="B133" t="s">
        <v>20</v>
      </c>
      <c r="C133" t="s">
        <v>16</v>
      </c>
      <c r="D133">
        <v>2059</v>
      </c>
      <c r="E133">
        <v>43.48</v>
      </c>
      <c r="F133">
        <v>116.92</v>
      </c>
    </row>
    <row r="134" spans="1:6">
      <c r="A134" s="5">
        <v>2022</v>
      </c>
      <c r="B134" t="s">
        <v>20</v>
      </c>
      <c r="C134" t="s">
        <v>7</v>
      </c>
      <c r="D134">
        <v>7668</v>
      </c>
      <c r="E134">
        <v>44.67</v>
      </c>
      <c r="F134">
        <v>396.6</v>
      </c>
    </row>
    <row r="135" spans="1:6">
      <c r="A135" s="5">
        <v>2022</v>
      </c>
      <c r="B135" t="s">
        <v>20</v>
      </c>
      <c r="C135" t="s">
        <v>8</v>
      </c>
      <c r="D135">
        <v>4157</v>
      </c>
      <c r="E135">
        <v>43.54</v>
      </c>
      <c r="F135">
        <v>204.83</v>
      </c>
    </row>
    <row r="136" spans="1:6">
      <c r="A136" s="5">
        <v>2022</v>
      </c>
      <c r="B136" t="s">
        <v>20</v>
      </c>
      <c r="C136" t="s">
        <v>9</v>
      </c>
      <c r="D136">
        <v>6915</v>
      </c>
      <c r="E136">
        <v>27.04</v>
      </c>
      <c r="F136">
        <v>354.43</v>
      </c>
    </row>
    <row r="137" spans="1:6">
      <c r="A137" s="5">
        <v>2022</v>
      </c>
      <c r="B137" t="s">
        <v>20</v>
      </c>
      <c r="C137" t="s">
        <v>10</v>
      </c>
      <c r="D137">
        <v>3693</v>
      </c>
      <c r="E137">
        <v>18.899999999999999</v>
      </c>
      <c r="F137">
        <v>213.62</v>
      </c>
    </row>
    <row r="138" spans="1:6">
      <c r="A138" s="5">
        <v>2022</v>
      </c>
      <c r="B138" t="s">
        <v>20</v>
      </c>
      <c r="C138" t="s">
        <v>11</v>
      </c>
      <c r="D138">
        <v>4627</v>
      </c>
      <c r="E138">
        <v>25.87</v>
      </c>
      <c r="F138">
        <v>246.49</v>
      </c>
    </row>
    <row r="139" spans="1:6">
      <c r="A139" s="5">
        <v>2022</v>
      </c>
      <c r="B139" t="s">
        <v>20</v>
      </c>
      <c r="C139" t="s">
        <v>12</v>
      </c>
      <c r="D139">
        <v>6450</v>
      </c>
      <c r="E139">
        <v>45.68</v>
      </c>
      <c r="F139">
        <v>323.95</v>
      </c>
    </row>
    <row r="140" spans="1:6">
      <c r="A140" s="5">
        <v>2022</v>
      </c>
      <c r="B140" t="s">
        <v>20</v>
      </c>
      <c r="C140" t="s">
        <v>13</v>
      </c>
      <c r="D140">
        <v>2663</v>
      </c>
      <c r="E140">
        <v>15.86</v>
      </c>
      <c r="F140">
        <v>140.22999999999999</v>
      </c>
    </row>
    <row r="141" spans="1:6">
      <c r="A141" s="5">
        <v>2022</v>
      </c>
      <c r="B141" t="s">
        <v>20</v>
      </c>
      <c r="C141" t="s">
        <v>14</v>
      </c>
      <c r="D141">
        <v>6592</v>
      </c>
      <c r="E141">
        <v>30.53</v>
      </c>
      <c r="F141">
        <v>348.5</v>
      </c>
    </row>
    <row r="142" spans="1:6">
      <c r="A142" s="5">
        <v>2022</v>
      </c>
      <c r="B142" t="s">
        <v>20</v>
      </c>
      <c r="C142" t="s">
        <v>15</v>
      </c>
      <c r="D142">
        <v>8392</v>
      </c>
      <c r="E142">
        <v>19.329999999999998</v>
      </c>
      <c r="F142">
        <v>432.04</v>
      </c>
    </row>
    <row r="143" spans="1:6">
      <c r="A143" s="5">
        <v>2022</v>
      </c>
      <c r="B143" t="s">
        <v>20</v>
      </c>
      <c r="C143" t="s">
        <v>16</v>
      </c>
      <c r="D143">
        <v>2306</v>
      </c>
      <c r="E143">
        <v>33.25</v>
      </c>
      <c r="F143">
        <v>143.52000000000001</v>
      </c>
    </row>
    <row r="144" spans="1:6">
      <c r="A144" s="5">
        <v>2022</v>
      </c>
      <c r="B144" t="s">
        <v>20</v>
      </c>
      <c r="C144" t="s">
        <v>7</v>
      </c>
      <c r="D144">
        <v>7776</v>
      </c>
      <c r="E144">
        <v>44.53</v>
      </c>
      <c r="F144">
        <v>371.92</v>
      </c>
    </row>
    <row r="145" spans="1:6">
      <c r="A145" s="5">
        <v>2022</v>
      </c>
      <c r="B145" t="s">
        <v>20</v>
      </c>
      <c r="C145" t="s">
        <v>8</v>
      </c>
      <c r="D145">
        <v>6864</v>
      </c>
      <c r="E145">
        <v>45.21</v>
      </c>
      <c r="F145">
        <v>325.83999999999997</v>
      </c>
    </row>
    <row r="146" spans="1:6">
      <c r="A146" s="5">
        <v>2022</v>
      </c>
      <c r="B146" t="s">
        <v>20</v>
      </c>
      <c r="C146" t="s">
        <v>9</v>
      </c>
      <c r="D146">
        <v>8526</v>
      </c>
      <c r="E146">
        <v>19.47</v>
      </c>
      <c r="F146">
        <v>461.85</v>
      </c>
    </row>
    <row r="147" spans="1:6">
      <c r="A147" s="5">
        <v>2022</v>
      </c>
      <c r="B147" t="s">
        <v>20</v>
      </c>
      <c r="C147" t="s">
        <v>10</v>
      </c>
      <c r="D147">
        <v>9901</v>
      </c>
      <c r="E147">
        <v>46.31</v>
      </c>
      <c r="F147">
        <v>489.76</v>
      </c>
    </row>
    <row r="148" spans="1:6">
      <c r="A148" s="5">
        <v>2022</v>
      </c>
      <c r="B148" t="s">
        <v>20</v>
      </c>
      <c r="C148" t="s">
        <v>11</v>
      </c>
      <c r="D148">
        <v>6575</v>
      </c>
      <c r="E148">
        <v>33.68</v>
      </c>
      <c r="F148">
        <v>383.87</v>
      </c>
    </row>
    <row r="149" spans="1:6">
      <c r="A149" s="5">
        <v>2022</v>
      </c>
      <c r="B149" t="s">
        <v>20</v>
      </c>
      <c r="C149" t="s">
        <v>12</v>
      </c>
      <c r="D149">
        <v>6530</v>
      </c>
      <c r="E149">
        <v>24.01</v>
      </c>
      <c r="F149">
        <v>315.10000000000002</v>
      </c>
    </row>
    <row r="150" spans="1:6">
      <c r="A150" s="5">
        <v>2022</v>
      </c>
      <c r="B150" t="s">
        <v>20</v>
      </c>
      <c r="C150" t="s">
        <v>13</v>
      </c>
      <c r="D150">
        <v>5413</v>
      </c>
      <c r="E150">
        <v>38.33</v>
      </c>
      <c r="F150">
        <v>276.85000000000002</v>
      </c>
    </row>
    <row r="151" spans="1:6">
      <c r="A151" s="5">
        <v>2022</v>
      </c>
      <c r="B151" t="s">
        <v>20</v>
      </c>
      <c r="C151" t="s">
        <v>14</v>
      </c>
      <c r="D151">
        <v>4748</v>
      </c>
      <c r="E151">
        <v>29.27</v>
      </c>
      <c r="F151">
        <v>274.87</v>
      </c>
    </row>
    <row r="152" spans="1:6">
      <c r="A152" s="5">
        <v>2022</v>
      </c>
      <c r="B152" t="s">
        <v>20</v>
      </c>
      <c r="C152" t="s">
        <v>15</v>
      </c>
      <c r="D152">
        <v>1663</v>
      </c>
      <c r="E152">
        <v>25.12</v>
      </c>
      <c r="F152">
        <v>91.44</v>
      </c>
    </row>
    <row r="153" spans="1:6">
      <c r="A153" s="5">
        <v>2022</v>
      </c>
      <c r="B153" t="s">
        <v>20</v>
      </c>
      <c r="C153" t="s">
        <v>16</v>
      </c>
      <c r="D153">
        <v>2998</v>
      </c>
      <c r="E153">
        <v>38.200000000000003</v>
      </c>
      <c r="F153">
        <v>135.84</v>
      </c>
    </row>
    <row r="154" spans="1:6">
      <c r="A154" s="5">
        <v>2022</v>
      </c>
      <c r="B154" t="s">
        <v>20</v>
      </c>
      <c r="C154" t="s">
        <v>7</v>
      </c>
      <c r="D154">
        <v>8994</v>
      </c>
      <c r="E154">
        <v>19.95</v>
      </c>
      <c r="F154">
        <v>458.34</v>
      </c>
    </row>
    <row r="155" spans="1:6">
      <c r="A155" s="5">
        <v>2022</v>
      </c>
      <c r="B155" t="s">
        <v>21</v>
      </c>
      <c r="C155" t="s">
        <v>8</v>
      </c>
      <c r="D155">
        <v>2495</v>
      </c>
      <c r="E155">
        <v>23.21</v>
      </c>
      <c r="F155">
        <v>114.66</v>
      </c>
    </row>
    <row r="156" spans="1:6">
      <c r="A156" s="5">
        <v>2022</v>
      </c>
      <c r="B156" t="s">
        <v>21</v>
      </c>
      <c r="C156" t="s">
        <v>9</v>
      </c>
      <c r="D156">
        <v>4304</v>
      </c>
      <c r="E156">
        <v>27.38</v>
      </c>
      <c r="F156">
        <v>259.33999999999997</v>
      </c>
    </row>
    <row r="157" spans="1:6">
      <c r="A157" s="5">
        <v>2022</v>
      </c>
      <c r="B157" t="s">
        <v>21</v>
      </c>
      <c r="C157" t="s">
        <v>10</v>
      </c>
      <c r="D157">
        <v>4763</v>
      </c>
      <c r="E157">
        <v>20.149999999999999</v>
      </c>
      <c r="F157">
        <v>257.38</v>
      </c>
    </row>
    <row r="158" spans="1:6">
      <c r="A158" s="5">
        <v>2022</v>
      </c>
      <c r="B158" t="s">
        <v>21</v>
      </c>
      <c r="C158" t="s">
        <v>11</v>
      </c>
      <c r="D158">
        <v>6232</v>
      </c>
      <c r="E158">
        <v>26.21</v>
      </c>
      <c r="F158">
        <v>321.19</v>
      </c>
    </row>
    <row r="159" spans="1:6">
      <c r="A159" s="5">
        <v>2022</v>
      </c>
      <c r="B159" t="s">
        <v>21</v>
      </c>
      <c r="C159" t="s">
        <v>12</v>
      </c>
      <c r="D159">
        <v>2853</v>
      </c>
      <c r="E159">
        <v>32.86</v>
      </c>
      <c r="F159">
        <v>110.74</v>
      </c>
    </row>
    <row r="160" spans="1:6">
      <c r="A160" s="5">
        <v>2022</v>
      </c>
      <c r="B160" t="s">
        <v>21</v>
      </c>
      <c r="C160" t="s">
        <v>13</v>
      </c>
      <c r="D160">
        <v>7585</v>
      </c>
      <c r="E160">
        <v>39.64</v>
      </c>
      <c r="F160">
        <v>353.01</v>
      </c>
    </row>
    <row r="161" spans="1:6">
      <c r="A161" s="5">
        <v>2022</v>
      </c>
      <c r="B161" t="s">
        <v>21</v>
      </c>
      <c r="C161" t="s">
        <v>14</v>
      </c>
      <c r="D161">
        <v>2291</v>
      </c>
      <c r="E161">
        <v>40.69</v>
      </c>
      <c r="F161">
        <v>145.03</v>
      </c>
    </row>
    <row r="162" spans="1:6">
      <c r="A162" s="5">
        <v>2022</v>
      </c>
      <c r="B162" t="s">
        <v>21</v>
      </c>
      <c r="C162" t="s">
        <v>15</v>
      </c>
      <c r="D162">
        <v>4581</v>
      </c>
      <c r="E162">
        <v>42.91</v>
      </c>
      <c r="F162">
        <v>233.62</v>
      </c>
    </row>
    <row r="163" spans="1:6">
      <c r="A163" s="5">
        <v>2022</v>
      </c>
      <c r="B163" t="s">
        <v>21</v>
      </c>
      <c r="C163" t="s">
        <v>16</v>
      </c>
      <c r="D163">
        <v>8554</v>
      </c>
      <c r="E163">
        <v>39.770000000000003</v>
      </c>
      <c r="F163">
        <v>453.31</v>
      </c>
    </row>
    <row r="164" spans="1:6">
      <c r="A164" s="5">
        <v>2022</v>
      </c>
      <c r="B164" t="s">
        <v>21</v>
      </c>
      <c r="C164" t="s">
        <v>7</v>
      </c>
      <c r="D164">
        <v>8280</v>
      </c>
      <c r="E164">
        <v>37.24</v>
      </c>
      <c r="F164">
        <v>440.11</v>
      </c>
    </row>
    <row r="165" spans="1:6">
      <c r="A165" s="5">
        <v>2022</v>
      </c>
      <c r="B165" t="s">
        <v>21</v>
      </c>
      <c r="C165" t="s">
        <v>8</v>
      </c>
      <c r="D165">
        <v>2636</v>
      </c>
      <c r="E165">
        <v>19.5</v>
      </c>
      <c r="F165">
        <v>138.38999999999999</v>
      </c>
    </row>
    <row r="166" spans="1:6">
      <c r="A166" s="5">
        <v>2022</v>
      </c>
      <c r="B166" t="s">
        <v>21</v>
      </c>
      <c r="C166" t="s">
        <v>9</v>
      </c>
      <c r="D166">
        <v>4696</v>
      </c>
      <c r="E166">
        <v>26.01</v>
      </c>
      <c r="F166">
        <v>302.19</v>
      </c>
    </row>
    <row r="167" spans="1:6">
      <c r="A167" s="5">
        <v>2022</v>
      </c>
      <c r="B167" t="s">
        <v>21</v>
      </c>
      <c r="C167" t="s">
        <v>10</v>
      </c>
      <c r="D167">
        <v>1698</v>
      </c>
      <c r="E167">
        <v>29.11</v>
      </c>
      <c r="F167">
        <v>138.96</v>
      </c>
    </row>
    <row r="168" spans="1:6">
      <c r="A168" s="5">
        <v>2022</v>
      </c>
      <c r="B168" t="s">
        <v>21</v>
      </c>
      <c r="C168" t="s">
        <v>11</v>
      </c>
      <c r="D168">
        <v>5737</v>
      </c>
      <c r="E168">
        <v>13.32</v>
      </c>
      <c r="F168">
        <v>309.60000000000002</v>
      </c>
    </row>
    <row r="169" spans="1:6">
      <c r="A169" s="5">
        <v>2022</v>
      </c>
      <c r="B169" t="s">
        <v>21</v>
      </c>
      <c r="C169" t="s">
        <v>12</v>
      </c>
      <c r="D169">
        <v>1854</v>
      </c>
      <c r="E169">
        <v>31.13</v>
      </c>
      <c r="F169">
        <v>33.97</v>
      </c>
    </row>
    <row r="170" spans="1:6">
      <c r="A170" s="5">
        <v>2022</v>
      </c>
      <c r="B170" t="s">
        <v>21</v>
      </c>
      <c r="C170" t="s">
        <v>13</v>
      </c>
      <c r="D170">
        <v>9164</v>
      </c>
      <c r="E170">
        <v>27.45</v>
      </c>
      <c r="F170">
        <v>468.13</v>
      </c>
    </row>
    <row r="171" spans="1:6">
      <c r="A171" s="5">
        <v>2022</v>
      </c>
      <c r="B171" t="s">
        <v>21</v>
      </c>
      <c r="C171" t="s">
        <v>14</v>
      </c>
      <c r="D171">
        <v>6855</v>
      </c>
      <c r="E171">
        <v>42.08</v>
      </c>
      <c r="F171">
        <v>347.01</v>
      </c>
    </row>
    <row r="172" spans="1:6">
      <c r="A172" s="5">
        <v>2022</v>
      </c>
      <c r="B172" t="s">
        <v>21</v>
      </c>
      <c r="C172" t="s">
        <v>15</v>
      </c>
      <c r="D172">
        <v>8392</v>
      </c>
      <c r="E172">
        <v>49.12</v>
      </c>
      <c r="F172">
        <v>399.31</v>
      </c>
    </row>
    <row r="173" spans="1:6">
      <c r="A173" s="5">
        <v>2022</v>
      </c>
      <c r="B173" t="s">
        <v>21</v>
      </c>
      <c r="C173" t="s">
        <v>16</v>
      </c>
      <c r="D173">
        <v>7528</v>
      </c>
      <c r="E173">
        <v>32.24</v>
      </c>
      <c r="F173">
        <v>383.28</v>
      </c>
    </row>
    <row r="174" spans="1:6">
      <c r="A174" s="5">
        <v>2022</v>
      </c>
      <c r="B174" t="s">
        <v>21</v>
      </c>
      <c r="C174" t="s">
        <v>7</v>
      </c>
      <c r="D174">
        <v>6249</v>
      </c>
      <c r="E174">
        <v>22.91</v>
      </c>
      <c r="F174">
        <v>318.39</v>
      </c>
    </row>
    <row r="175" spans="1:6">
      <c r="A175" s="5">
        <v>2022</v>
      </c>
      <c r="B175" t="s">
        <v>21</v>
      </c>
      <c r="C175" t="s">
        <v>8</v>
      </c>
      <c r="D175">
        <v>6172</v>
      </c>
      <c r="E175">
        <v>11.74</v>
      </c>
      <c r="F175">
        <v>362.95</v>
      </c>
    </row>
    <row r="176" spans="1:6">
      <c r="A176" s="5">
        <v>2022</v>
      </c>
      <c r="B176" t="s">
        <v>21</v>
      </c>
      <c r="C176" t="s">
        <v>9</v>
      </c>
      <c r="D176">
        <v>2707</v>
      </c>
      <c r="E176">
        <v>46.99</v>
      </c>
      <c r="F176">
        <v>130.24</v>
      </c>
    </row>
    <row r="177" spans="1:6">
      <c r="A177" s="5">
        <v>2022</v>
      </c>
      <c r="B177" t="s">
        <v>21</v>
      </c>
      <c r="C177" t="s">
        <v>10</v>
      </c>
      <c r="D177">
        <v>6791</v>
      </c>
      <c r="E177">
        <v>46.76</v>
      </c>
      <c r="F177">
        <v>352.46</v>
      </c>
    </row>
    <row r="178" spans="1:6">
      <c r="A178" s="5">
        <v>2022</v>
      </c>
      <c r="B178" t="s">
        <v>21</v>
      </c>
      <c r="C178" t="s">
        <v>11</v>
      </c>
      <c r="D178">
        <v>6535</v>
      </c>
      <c r="E178">
        <v>20.12</v>
      </c>
      <c r="F178">
        <v>377.05</v>
      </c>
    </row>
    <row r="179" spans="1:6">
      <c r="A179" s="5">
        <v>2022</v>
      </c>
      <c r="B179" t="s">
        <v>21</v>
      </c>
      <c r="C179" t="s">
        <v>12</v>
      </c>
      <c r="D179">
        <v>5931</v>
      </c>
      <c r="E179">
        <v>37.82</v>
      </c>
      <c r="F179">
        <v>257.68</v>
      </c>
    </row>
    <row r="180" spans="1:6">
      <c r="A180" s="5">
        <v>2022</v>
      </c>
      <c r="B180" t="s">
        <v>21</v>
      </c>
      <c r="C180" t="s">
        <v>13</v>
      </c>
      <c r="D180">
        <v>4510</v>
      </c>
      <c r="E180">
        <v>13.02</v>
      </c>
      <c r="F180">
        <v>244.47</v>
      </c>
    </row>
    <row r="181" spans="1:6">
      <c r="A181" s="5">
        <v>2022</v>
      </c>
      <c r="B181" t="s">
        <v>21</v>
      </c>
      <c r="C181" t="s">
        <v>14</v>
      </c>
      <c r="D181">
        <v>1202</v>
      </c>
      <c r="E181">
        <v>16.649999999999999</v>
      </c>
      <c r="F181">
        <v>77.64</v>
      </c>
    </row>
    <row r="182" spans="1:6">
      <c r="A182" s="5">
        <v>2022</v>
      </c>
      <c r="B182" t="s">
        <v>21</v>
      </c>
      <c r="C182" t="s">
        <v>15</v>
      </c>
      <c r="D182">
        <v>5218</v>
      </c>
      <c r="E182">
        <v>18.670000000000002</v>
      </c>
      <c r="F182">
        <v>339.92</v>
      </c>
    </row>
    <row r="183" spans="1:6">
      <c r="A183" s="5">
        <v>2022</v>
      </c>
      <c r="B183" t="s">
        <v>21</v>
      </c>
      <c r="C183" t="s">
        <v>16</v>
      </c>
      <c r="D183">
        <v>9958</v>
      </c>
      <c r="E183">
        <v>21.78</v>
      </c>
      <c r="F183">
        <v>524.74</v>
      </c>
    </row>
    <row r="184" spans="1:6">
      <c r="A184" s="5">
        <v>2022</v>
      </c>
      <c r="B184" t="s">
        <v>21</v>
      </c>
      <c r="C184" t="s">
        <v>7</v>
      </c>
      <c r="D184">
        <v>5389</v>
      </c>
      <c r="E184">
        <v>49.83</v>
      </c>
      <c r="F184">
        <v>275.89999999999998</v>
      </c>
    </row>
    <row r="185" spans="1:6">
      <c r="A185" s="5">
        <v>2022</v>
      </c>
      <c r="B185" t="s">
        <v>22</v>
      </c>
      <c r="C185" t="s">
        <v>8</v>
      </c>
      <c r="D185">
        <v>3327</v>
      </c>
      <c r="E185">
        <v>37.880000000000003</v>
      </c>
      <c r="F185">
        <v>133.28</v>
      </c>
    </row>
    <row r="186" spans="1:6">
      <c r="A186" s="5">
        <v>2022</v>
      </c>
      <c r="B186" t="s">
        <v>22</v>
      </c>
      <c r="C186" t="s">
        <v>9</v>
      </c>
      <c r="D186">
        <v>9004</v>
      </c>
      <c r="E186">
        <v>25.37</v>
      </c>
      <c r="F186">
        <v>472.62</v>
      </c>
    </row>
    <row r="187" spans="1:6">
      <c r="A187" s="5">
        <v>2022</v>
      </c>
      <c r="B187" t="s">
        <v>22</v>
      </c>
      <c r="C187" t="s">
        <v>10</v>
      </c>
      <c r="D187">
        <v>3931</v>
      </c>
      <c r="E187">
        <v>39.479999999999997</v>
      </c>
      <c r="F187">
        <v>218.74</v>
      </c>
    </row>
    <row r="188" spans="1:6">
      <c r="A188" s="5">
        <v>2022</v>
      </c>
      <c r="B188" t="s">
        <v>22</v>
      </c>
      <c r="C188" t="s">
        <v>11</v>
      </c>
      <c r="D188">
        <v>8777</v>
      </c>
      <c r="E188">
        <v>46.61</v>
      </c>
      <c r="F188">
        <v>450.16</v>
      </c>
    </row>
    <row r="189" spans="1:6">
      <c r="A189" s="5">
        <v>2022</v>
      </c>
      <c r="B189" t="s">
        <v>22</v>
      </c>
      <c r="C189" t="s">
        <v>12</v>
      </c>
      <c r="D189">
        <v>1197</v>
      </c>
      <c r="E189">
        <v>48.35</v>
      </c>
      <c r="F189">
        <v>64.3</v>
      </c>
    </row>
    <row r="190" spans="1:6">
      <c r="A190" s="5">
        <v>2022</v>
      </c>
      <c r="B190" t="s">
        <v>22</v>
      </c>
      <c r="C190" t="s">
        <v>13</v>
      </c>
      <c r="D190">
        <v>8125</v>
      </c>
      <c r="E190">
        <v>12.31</v>
      </c>
      <c r="F190">
        <v>441.73</v>
      </c>
    </row>
    <row r="191" spans="1:6">
      <c r="A191" s="5">
        <v>2022</v>
      </c>
      <c r="B191" t="s">
        <v>22</v>
      </c>
      <c r="C191" t="s">
        <v>14</v>
      </c>
      <c r="D191">
        <v>2930</v>
      </c>
      <c r="E191">
        <v>25.78</v>
      </c>
      <c r="F191">
        <v>166.79</v>
      </c>
    </row>
    <row r="192" spans="1:6">
      <c r="A192" s="5">
        <v>2022</v>
      </c>
      <c r="B192" t="s">
        <v>22</v>
      </c>
      <c r="C192" t="s">
        <v>15</v>
      </c>
      <c r="D192">
        <v>7287</v>
      </c>
      <c r="E192">
        <v>14.27</v>
      </c>
      <c r="F192">
        <v>363.36</v>
      </c>
    </row>
    <row r="193" spans="1:6">
      <c r="A193" s="5">
        <v>2022</v>
      </c>
      <c r="B193" t="s">
        <v>22</v>
      </c>
      <c r="C193" t="s">
        <v>16</v>
      </c>
      <c r="D193">
        <v>9800</v>
      </c>
      <c r="E193">
        <v>23.43</v>
      </c>
      <c r="F193">
        <v>493.88</v>
      </c>
    </row>
    <row r="194" spans="1:6">
      <c r="A194" s="5">
        <v>2022</v>
      </c>
      <c r="B194" t="s">
        <v>22</v>
      </c>
      <c r="C194" t="s">
        <v>7</v>
      </c>
      <c r="D194">
        <v>5282</v>
      </c>
      <c r="E194">
        <v>16.79</v>
      </c>
      <c r="F194">
        <v>298.57</v>
      </c>
    </row>
    <row r="195" spans="1:6">
      <c r="A195" s="5">
        <v>2022</v>
      </c>
      <c r="B195" t="s">
        <v>22</v>
      </c>
      <c r="C195" t="s">
        <v>8</v>
      </c>
      <c r="D195">
        <v>3511</v>
      </c>
      <c r="E195">
        <v>35.869999999999997</v>
      </c>
      <c r="F195">
        <v>168.18</v>
      </c>
    </row>
    <row r="196" spans="1:6">
      <c r="A196" s="5">
        <v>2022</v>
      </c>
      <c r="B196" t="s">
        <v>22</v>
      </c>
      <c r="C196" t="s">
        <v>9</v>
      </c>
      <c r="D196">
        <v>1659</v>
      </c>
      <c r="E196">
        <v>25.53</v>
      </c>
      <c r="F196">
        <v>116.09</v>
      </c>
    </row>
    <row r="197" spans="1:6">
      <c r="A197" s="5">
        <v>2022</v>
      </c>
      <c r="B197" t="s">
        <v>22</v>
      </c>
      <c r="C197" t="s">
        <v>10</v>
      </c>
      <c r="D197">
        <v>3811</v>
      </c>
      <c r="E197">
        <v>19.18</v>
      </c>
      <c r="F197">
        <v>226.87</v>
      </c>
    </row>
    <row r="198" spans="1:6">
      <c r="A198" s="5">
        <v>2022</v>
      </c>
      <c r="B198" t="s">
        <v>22</v>
      </c>
      <c r="C198" t="s">
        <v>11</v>
      </c>
      <c r="D198">
        <v>8098</v>
      </c>
      <c r="E198">
        <v>20.64</v>
      </c>
      <c r="F198">
        <v>457.48</v>
      </c>
    </row>
    <row r="199" spans="1:6">
      <c r="A199" s="5">
        <v>2022</v>
      </c>
      <c r="B199" t="s">
        <v>22</v>
      </c>
      <c r="C199" t="s">
        <v>12</v>
      </c>
      <c r="D199">
        <v>7546</v>
      </c>
      <c r="E199">
        <v>24.41</v>
      </c>
      <c r="F199">
        <v>417.17</v>
      </c>
    </row>
    <row r="200" spans="1:6">
      <c r="A200" s="5">
        <v>2022</v>
      </c>
      <c r="B200" t="s">
        <v>22</v>
      </c>
      <c r="C200" t="s">
        <v>13</v>
      </c>
      <c r="D200">
        <v>2986</v>
      </c>
      <c r="E200">
        <v>20.399999999999999</v>
      </c>
      <c r="F200">
        <v>179.37</v>
      </c>
    </row>
    <row r="201" spans="1:6">
      <c r="A201" s="5">
        <v>2022</v>
      </c>
      <c r="B201" t="s">
        <v>22</v>
      </c>
      <c r="C201" t="s">
        <v>14</v>
      </c>
      <c r="D201">
        <v>9338</v>
      </c>
      <c r="E201">
        <v>28.13</v>
      </c>
      <c r="F201">
        <v>498.1</v>
      </c>
    </row>
    <row r="202" spans="1:6">
      <c r="A202" s="5">
        <v>2022</v>
      </c>
      <c r="B202" t="s">
        <v>22</v>
      </c>
      <c r="C202" t="s">
        <v>15</v>
      </c>
      <c r="D202">
        <v>3911</v>
      </c>
      <c r="E202">
        <v>11.29</v>
      </c>
      <c r="F202">
        <v>252.1</v>
      </c>
    </row>
    <row r="203" spans="1:6">
      <c r="A203" s="5">
        <v>2022</v>
      </c>
      <c r="B203" t="s">
        <v>22</v>
      </c>
      <c r="C203" t="s">
        <v>16</v>
      </c>
      <c r="D203">
        <v>2734</v>
      </c>
      <c r="E203">
        <v>21.19</v>
      </c>
      <c r="F203">
        <v>151.12</v>
      </c>
    </row>
    <row r="204" spans="1:6">
      <c r="A204" s="5">
        <v>2022</v>
      </c>
      <c r="B204" t="s">
        <v>22</v>
      </c>
      <c r="C204" t="s">
        <v>7</v>
      </c>
      <c r="D204">
        <v>2843</v>
      </c>
      <c r="E204">
        <v>26.45</v>
      </c>
      <c r="F204">
        <v>153.83000000000001</v>
      </c>
    </row>
    <row r="205" spans="1:6">
      <c r="A205" s="5">
        <v>2022</v>
      </c>
      <c r="B205" t="s">
        <v>22</v>
      </c>
      <c r="C205" t="s">
        <v>8</v>
      </c>
      <c r="D205">
        <v>9680</v>
      </c>
      <c r="E205">
        <v>34.11</v>
      </c>
      <c r="F205">
        <v>491.13</v>
      </c>
    </row>
    <row r="206" spans="1:6">
      <c r="A206" s="5">
        <v>2022</v>
      </c>
      <c r="B206" t="s">
        <v>22</v>
      </c>
      <c r="C206" t="s">
        <v>9</v>
      </c>
      <c r="D206">
        <v>3976</v>
      </c>
      <c r="E206">
        <v>20.84</v>
      </c>
      <c r="F206">
        <v>214.28</v>
      </c>
    </row>
    <row r="207" spans="1:6">
      <c r="A207" s="5">
        <v>2022</v>
      </c>
      <c r="B207" t="s">
        <v>22</v>
      </c>
      <c r="C207" t="s">
        <v>10</v>
      </c>
      <c r="D207">
        <v>2959</v>
      </c>
      <c r="E207">
        <v>15.33</v>
      </c>
      <c r="F207">
        <v>199.87</v>
      </c>
    </row>
    <row r="208" spans="1:6">
      <c r="A208" s="5">
        <v>2022</v>
      </c>
      <c r="B208" t="s">
        <v>22</v>
      </c>
      <c r="C208" t="s">
        <v>11</v>
      </c>
      <c r="D208">
        <v>6759</v>
      </c>
      <c r="E208">
        <v>13.05</v>
      </c>
      <c r="F208">
        <v>359.75</v>
      </c>
    </row>
    <row r="209" spans="1:6">
      <c r="A209" s="5">
        <v>2022</v>
      </c>
      <c r="B209" t="s">
        <v>22</v>
      </c>
      <c r="C209" t="s">
        <v>12</v>
      </c>
      <c r="D209">
        <v>7694</v>
      </c>
      <c r="E209">
        <v>47.62</v>
      </c>
      <c r="F209">
        <v>402.59</v>
      </c>
    </row>
    <row r="210" spans="1:6">
      <c r="A210" s="5">
        <v>2022</v>
      </c>
      <c r="B210" t="s">
        <v>22</v>
      </c>
      <c r="C210" t="s">
        <v>13</v>
      </c>
      <c r="D210">
        <v>3385</v>
      </c>
      <c r="E210">
        <v>26.67</v>
      </c>
      <c r="F210">
        <v>179.91</v>
      </c>
    </row>
    <row r="211" spans="1:6">
      <c r="A211" s="5">
        <v>2022</v>
      </c>
      <c r="B211" t="s">
        <v>22</v>
      </c>
      <c r="C211" t="s">
        <v>14</v>
      </c>
      <c r="D211">
        <v>5736</v>
      </c>
      <c r="E211">
        <v>33.25</v>
      </c>
      <c r="F211">
        <v>306.35000000000002</v>
      </c>
    </row>
    <row r="212" spans="1:6">
      <c r="A212" s="5">
        <v>2022</v>
      </c>
      <c r="B212" t="s">
        <v>22</v>
      </c>
      <c r="C212" t="s">
        <v>15</v>
      </c>
      <c r="D212">
        <v>2802</v>
      </c>
      <c r="E212">
        <v>46.77</v>
      </c>
      <c r="F212">
        <v>137.31</v>
      </c>
    </row>
    <row r="213" spans="1:6">
      <c r="A213" s="5">
        <v>2022</v>
      </c>
      <c r="B213" t="s">
        <v>22</v>
      </c>
      <c r="C213" t="s">
        <v>16</v>
      </c>
      <c r="D213">
        <v>9155</v>
      </c>
      <c r="E213">
        <v>13.31</v>
      </c>
      <c r="F213">
        <v>472.26</v>
      </c>
    </row>
    <row r="214" spans="1:6">
      <c r="A214" s="5">
        <v>2022</v>
      </c>
      <c r="B214" t="s">
        <v>22</v>
      </c>
      <c r="C214" t="s">
        <v>7</v>
      </c>
      <c r="D214">
        <v>9120</v>
      </c>
      <c r="E214">
        <v>45.07</v>
      </c>
      <c r="F214">
        <v>451.52</v>
      </c>
    </row>
    <row r="215" spans="1:6">
      <c r="A215" s="5">
        <v>2022</v>
      </c>
      <c r="B215" t="s">
        <v>22</v>
      </c>
      <c r="C215" t="s">
        <v>8</v>
      </c>
      <c r="D215">
        <v>7616</v>
      </c>
      <c r="E215">
        <v>32.06</v>
      </c>
      <c r="F215">
        <v>399</v>
      </c>
    </row>
    <row r="216" spans="1:6">
      <c r="A216" s="5">
        <v>2022</v>
      </c>
      <c r="B216" t="s">
        <v>23</v>
      </c>
      <c r="C216" t="s">
        <v>9</v>
      </c>
      <c r="D216">
        <v>6534</v>
      </c>
      <c r="E216">
        <v>16.59</v>
      </c>
      <c r="F216">
        <v>355.5</v>
      </c>
    </row>
    <row r="217" spans="1:6">
      <c r="A217" s="5">
        <v>2022</v>
      </c>
      <c r="B217" t="s">
        <v>23</v>
      </c>
      <c r="C217" t="s">
        <v>10</v>
      </c>
      <c r="D217">
        <v>5061</v>
      </c>
      <c r="E217">
        <v>26.45</v>
      </c>
      <c r="F217">
        <v>244.46</v>
      </c>
    </row>
    <row r="218" spans="1:6">
      <c r="A218" s="5">
        <v>2022</v>
      </c>
      <c r="B218" t="s">
        <v>23</v>
      </c>
      <c r="C218" t="s">
        <v>11</v>
      </c>
      <c r="D218">
        <v>1262</v>
      </c>
      <c r="E218">
        <v>41.1</v>
      </c>
      <c r="F218">
        <v>97.8</v>
      </c>
    </row>
    <row r="219" spans="1:6">
      <c r="A219" s="5">
        <v>2022</v>
      </c>
      <c r="B219" t="s">
        <v>23</v>
      </c>
      <c r="C219" t="s">
        <v>12</v>
      </c>
      <c r="D219">
        <v>7287</v>
      </c>
      <c r="E219">
        <v>29.21</v>
      </c>
      <c r="F219">
        <v>381.05</v>
      </c>
    </row>
    <row r="220" spans="1:6">
      <c r="A220" s="5">
        <v>2022</v>
      </c>
      <c r="B220" t="s">
        <v>23</v>
      </c>
      <c r="C220" t="s">
        <v>13</v>
      </c>
      <c r="D220">
        <v>9815</v>
      </c>
      <c r="E220">
        <v>49.41</v>
      </c>
      <c r="F220">
        <v>465.57</v>
      </c>
    </row>
    <row r="221" spans="1:6">
      <c r="A221" s="5">
        <v>2022</v>
      </c>
      <c r="B221" t="s">
        <v>23</v>
      </c>
      <c r="C221" t="s">
        <v>14</v>
      </c>
      <c r="D221">
        <v>3049</v>
      </c>
      <c r="E221">
        <v>25.07</v>
      </c>
      <c r="F221">
        <v>204.78</v>
      </c>
    </row>
    <row r="222" spans="1:6">
      <c r="A222" s="5">
        <v>2022</v>
      </c>
      <c r="B222" t="s">
        <v>23</v>
      </c>
      <c r="C222" t="s">
        <v>15</v>
      </c>
      <c r="D222">
        <v>6423</v>
      </c>
      <c r="E222">
        <v>39.979999999999997</v>
      </c>
      <c r="F222">
        <v>335.52</v>
      </c>
    </row>
    <row r="223" spans="1:6">
      <c r="A223" s="5">
        <v>2022</v>
      </c>
      <c r="B223" t="s">
        <v>23</v>
      </c>
      <c r="C223" t="s">
        <v>16</v>
      </c>
      <c r="D223">
        <v>5548</v>
      </c>
      <c r="E223">
        <v>25.72</v>
      </c>
      <c r="F223">
        <v>272.52999999999997</v>
      </c>
    </row>
    <row r="224" spans="1:6">
      <c r="A224" s="5">
        <v>2022</v>
      </c>
      <c r="B224" t="s">
        <v>23</v>
      </c>
      <c r="C224" t="s">
        <v>7</v>
      </c>
      <c r="D224">
        <v>4108</v>
      </c>
      <c r="E224">
        <v>43.17</v>
      </c>
      <c r="F224">
        <v>182.71</v>
      </c>
    </row>
    <row r="225" spans="1:6">
      <c r="A225" s="5">
        <v>2022</v>
      </c>
      <c r="B225" t="s">
        <v>23</v>
      </c>
      <c r="C225" t="s">
        <v>8</v>
      </c>
      <c r="D225">
        <v>8158</v>
      </c>
      <c r="E225">
        <v>32.76</v>
      </c>
      <c r="F225">
        <v>414.14</v>
      </c>
    </row>
    <row r="226" spans="1:6">
      <c r="A226" s="5">
        <v>2022</v>
      </c>
      <c r="B226" t="s">
        <v>23</v>
      </c>
      <c r="C226" t="s">
        <v>9</v>
      </c>
      <c r="D226">
        <v>8400</v>
      </c>
      <c r="E226">
        <v>12.54</v>
      </c>
      <c r="F226">
        <v>460.9</v>
      </c>
    </row>
    <row r="227" spans="1:6">
      <c r="A227" s="5">
        <v>2022</v>
      </c>
      <c r="B227" t="s">
        <v>23</v>
      </c>
      <c r="C227" t="s">
        <v>10</v>
      </c>
      <c r="D227">
        <v>4170</v>
      </c>
      <c r="E227">
        <v>11.47</v>
      </c>
      <c r="F227">
        <v>257.19</v>
      </c>
    </row>
    <row r="228" spans="1:6">
      <c r="A228" s="5">
        <v>2022</v>
      </c>
      <c r="B228" t="s">
        <v>23</v>
      </c>
      <c r="C228" t="s">
        <v>11</v>
      </c>
      <c r="D228">
        <v>3255</v>
      </c>
      <c r="E228">
        <v>15.35</v>
      </c>
      <c r="F228">
        <v>213.33</v>
      </c>
    </row>
    <row r="229" spans="1:6">
      <c r="A229" s="5">
        <v>2022</v>
      </c>
      <c r="B229" t="s">
        <v>23</v>
      </c>
      <c r="C229" t="s">
        <v>12</v>
      </c>
      <c r="D229">
        <v>2154</v>
      </c>
      <c r="E229">
        <v>10.55</v>
      </c>
      <c r="F229">
        <v>155.84</v>
      </c>
    </row>
    <row r="230" spans="1:6">
      <c r="A230" s="5">
        <v>2022</v>
      </c>
      <c r="B230" t="s">
        <v>23</v>
      </c>
      <c r="C230" t="s">
        <v>13</v>
      </c>
      <c r="D230">
        <v>5499</v>
      </c>
      <c r="E230">
        <v>13.01</v>
      </c>
      <c r="F230">
        <v>336.27</v>
      </c>
    </row>
    <row r="231" spans="1:6">
      <c r="A231" s="5">
        <v>2022</v>
      </c>
      <c r="B231" t="s">
        <v>23</v>
      </c>
      <c r="C231" t="s">
        <v>14</v>
      </c>
      <c r="D231">
        <v>7295</v>
      </c>
      <c r="E231">
        <v>37.67</v>
      </c>
      <c r="F231">
        <v>372.08</v>
      </c>
    </row>
    <row r="232" spans="1:6">
      <c r="A232" s="5">
        <v>2022</v>
      </c>
      <c r="B232" t="s">
        <v>23</v>
      </c>
      <c r="C232" t="s">
        <v>15</v>
      </c>
      <c r="D232">
        <v>7197</v>
      </c>
      <c r="E232">
        <v>31.37</v>
      </c>
      <c r="F232">
        <v>357.01</v>
      </c>
    </row>
    <row r="233" spans="1:6">
      <c r="A233" s="5">
        <v>2022</v>
      </c>
      <c r="B233" t="s">
        <v>23</v>
      </c>
      <c r="C233" t="s">
        <v>16</v>
      </c>
      <c r="D233">
        <v>2648</v>
      </c>
      <c r="E233">
        <v>40</v>
      </c>
      <c r="F233">
        <v>134.34</v>
      </c>
    </row>
    <row r="234" spans="1:6">
      <c r="A234" s="5">
        <v>2022</v>
      </c>
      <c r="B234" t="s">
        <v>23</v>
      </c>
      <c r="C234" t="s">
        <v>7</v>
      </c>
      <c r="D234">
        <v>6539</v>
      </c>
      <c r="E234">
        <v>46.53</v>
      </c>
      <c r="F234">
        <v>319.74</v>
      </c>
    </row>
    <row r="235" spans="1:6">
      <c r="A235" s="5">
        <v>2022</v>
      </c>
      <c r="B235" t="s">
        <v>23</v>
      </c>
      <c r="C235" t="s">
        <v>8</v>
      </c>
      <c r="D235">
        <v>5199</v>
      </c>
      <c r="E235">
        <v>33.409999999999997</v>
      </c>
      <c r="F235">
        <v>218.3</v>
      </c>
    </row>
    <row r="236" spans="1:6">
      <c r="A236" s="5">
        <v>2022</v>
      </c>
      <c r="B236" t="s">
        <v>23</v>
      </c>
      <c r="C236" t="s">
        <v>9</v>
      </c>
      <c r="D236">
        <v>9445</v>
      </c>
      <c r="E236">
        <v>39.04</v>
      </c>
      <c r="F236">
        <v>464.17</v>
      </c>
    </row>
    <row r="237" spans="1:6">
      <c r="A237" s="5">
        <v>2022</v>
      </c>
      <c r="B237" t="s">
        <v>23</v>
      </c>
      <c r="C237" t="s">
        <v>10</v>
      </c>
      <c r="D237">
        <v>3557</v>
      </c>
      <c r="E237">
        <v>40.28</v>
      </c>
      <c r="F237">
        <v>185.79</v>
      </c>
    </row>
    <row r="238" spans="1:6">
      <c r="A238" s="5">
        <v>2022</v>
      </c>
      <c r="B238" t="s">
        <v>23</v>
      </c>
      <c r="C238" t="s">
        <v>11</v>
      </c>
      <c r="D238">
        <v>6592</v>
      </c>
      <c r="E238">
        <v>25.11</v>
      </c>
      <c r="F238">
        <v>340.98</v>
      </c>
    </row>
    <row r="239" spans="1:6">
      <c r="A239" s="5">
        <v>2022</v>
      </c>
      <c r="B239" t="s">
        <v>23</v>
      </c>
      <c r="C239" t="s">
        <v>12</v>
      </c>
      <c r="D239">
        <v>1098</v>
      </c>
      <c r="E239">
        <v>19.64</v>
      </c>
      <c r="F239">
        <v>68.400000000000006</v>
      </c>
    </row>
    <row r="240" spans="1:6">
      <c r="A240" s="5">
        <v>2022</v>
      </c>
      <c r="B240" t="s">
        <v>23</v>
      </c>
      <c r="C240" t="s">
        <v>13</v>
      </c>
      <c r="D240">
        <v>3200</v>
      </c>
      <c r="E240">
        <v>18.2</v>
      </c>
      <c r="F240">
        <v>206.39</v>
      </c>
    </row>
    <row r="241" spans="1:6">
      <c r="A241" s="5">
        <v>2022</v>
      </c>
      <c r="B241" t="s">
        <v>23</v>
      </c>
      <c r="C241" t="s">
        <v>14</v>
      </c>
      <c r="D241">
        <v>3961</v>
      </c>
      <c r="E241">
        <v>20.059999999999999</v>
      </c>
      <c r="F241">
        <v>205.65</v>
      </c>
    </row>
    <row r="242" spans="1:6">
      <c r="A242" s="5">
        <v>2022</v>
      </c>
      <c r="B242" t="s">
        <v>23</v>
      </c>
      <c r="C242" t="s">
        <v>15</v>
      </c>
      <c r="D242">
        <v>5973</v>
      </c>
      <c r="E242">
        <v>20.99</v>
      </c>
      <c r="F242">
        <v>337.7</v>
      </c>
    </row>
    <row r="243" spans="1:6">
      <c r="A243" s="5">
        <v>2022</v>
      </c>
      <c r="B243" t="s">
        <v>23</v>
      </c>
      <c r="C243" t="s">
        <v>16</v>
      </c>
      <c r="D243">
        <v>5433</v>
      </c>
      <c r="E243">
        <v>18.29</v>
      </c>
      <c r="F243">
        <v>273.05</v>
      </c>
    </row>
    <row r="244" spans="1:6">
      <c r="A244" s="5">
        <v>2022</v>
      </c>
      <c r="B244" t="s">
        <v>23</v>
      </c>
      <c r="C244" t="s">
        <v>7</v>
      </c>
      <c r="D244">
        <v>3869</v>
      </c>
      <c r="E244">
        <v>45.13</v>
      </c>
      <c r="F244">
        <v>244.51</v>
      </c>
    </row>
    <row r="245" spans="1:6">
      <c r="A245" s="5">
        <v>2022</v>
      </c>
      <c r="B245" t="s">
        <v>23</v>
      </c>
      <c r="C245" t="s">
        <v>8</v>
      </c>
      <c r="D245">
        <v>1956</v>
      </c>
      <c r="E245">
        <v>40.28</v>
      </c>
      <c r="F245">
        <v>95.15</v>
      </c>
    </row>
    <row r="246" spans="1:6">
      <c r="A246" s="5">
        <v>2022</v>
      </c>
      <c r="B246" t="s">
        <v>23</v>
      </c>
      <c r="C246" t="s">
        <v>9</v>
      </c>
      <c r="D246">
        <v>9352</v>
      </c>
      <c r="E246">
        <v>11.88</v>
      </c>
      <c r="F246">
        <v>496.88</v>
      </c>
    </row>
    <row r="247" spans="1:6">
      <c r="A247" s="5">
        <v>2022</v>
      </c>
      <c r="B247" t="s">
        <v>24</v>
      </c>
      <c r="C247" t="s">
        <v>10</v>
      </c>
      <c r="D247">
        <v>6699</v>
      </c>
      <c r="E247">
        <v>20.75</v>
      </c>
      <c r="F247">
        <v>382.92</v>
      </c>
    </row>
    <row r="248" spans="1:6">
      <c r="A248" s="5">
        <v>2022</v>
      </c>
      <c r="B248" t="s">
        <v>24</v>
      </c>
      <c r="C248" t="s">
        <v>11</v>
      </c>
      <c r="D248">
        <v>7944</v>
      </c>
      <c r="E248">
        <v>10.89</v>
      </c>
      <c r="F248">
        <v>425.76</v>
      </c>
    </row>
    <row r="249" spans="1:6">
      <c r="A249" s="5">
        <v>2022</v>
      </c>
      <c r="B249" t="s">
        <v>24</v>
      </c>
      <c r="C249" t="s">
        <v>12</v>
      </c>
      <c r="D249">
        <v>5493</v>
      </c>
      <c r="E249">
        <v>29.93</v>
      </c>
      <c r="F249">
        <v>317.83999999999997</v>
      </c>
    </row>
    <row r="250" spans="1:6">
      <c r="A250" s="5">
        <v>2022</v>
      </c>
      <c r="B250" t="s">
        <v>24</v>
      </c>
      <c r="C250" t="s">
        <v>13</v>
      </c>
      <c r="D250">
        <v>5911</v>
      </c>
      <c r="E250">
        <v>29.05</v>
      </c>
      <c r="F250">
        <v>318.12</v>
      </c>
    </row>
    <row r="251" spans="1:6">
      <c r="A251" s="5">
        <v>2022</v>
      </c>
      <c r="B251" t="s">
        <v>24</v>
      </c>
      <c r="C251" t="s">
        <v>14</v>
      </c>
      <c r="D251">
        <v>4987</v>
      </c>
      <c r="E251">
        <v>43.25</v>
      </c>
      <c r="F251">
        <v>245.08</v>
      </c>
    </row>
    <row r="252" spans="1:6">
      <c r="A252" s="5">
        <v>2022</v>
      </c>
      <c r="B252" t="s">
        <v>24</v>
      </c>
      <c r="C252" t="s">
        <v>15</v>
      </c>
      <c r="D252">
        <v>7015</v>
      </c>
      <c r="E252">
        <v>22.31</v>
      </c>
      <c r="F252">
        <v>369.48</v>
      </c>
    </row>
    <row r="253" spans="1:6">
      <c r="A253" s="5">
        <v>2022</v>
      </c>
      <c r="B253" t="s">
        <v>24</v>
      </c>
      <c r="C253" t="s">
        <v>16</v>
      </c>
      <c r="D253">
        <v>2218</v>
      </c>
      <c r="E253">
        <v>42.66</v>
      </c>
      <c r="F253">
        <v>133.87</v>
      </c>
    </row>
    <row r="254" spans="1:6">
      <c r="A254" s="5">
        <v>2022</v>
      </c>
      <c r="B254" t="s">
        <v>24</v>
      </c>
      <c r="C254" t="s">
        <v>7</v>
      </c>
      <c r="D254">
        <v>5496</v>
      </c>
      <c r="E254">
        <v>48.72</v>
      </c>
      <c r="F254">
        <v>270.95</v>
      </c>
    </row>
    <row r="255" spans="1:6">
      <c r="A255" s="5">
        <v>2022</v>
      </c>
      <c r="B255" t="s">
        <v>24</v>
      </c>
      <c r="C255" t="s">
        <v>8</v>
      </c>
      <c r="D255">
        <v>5735</v>
      </c>
      <c r="E255">
        <v>13.54</v>
      </c>
      <c r="F255">
        <v>329.15</v>
      </c>
    </row>
    <row r="256" spans="1:6">
      <c r="A256" s="5">
        <v>2022</v>
      </c>
      <c r="B256" t="s">
        <v>24</v>
      </c>
      <c r="C256" t="s">
        <v>9</v>
      </c>
      <c r="D256">
        <v>5555</v>
      </c>
      <c r="E256">
        <v>41.67</v>
      </c>
      <c r="F256">
        <v>288.56</v>
      </c>
    </row>
    <row r="257" spans="1:6">
      <c r="A257" s="5">
        <v>2022</v>
      </c>
      <c r="B257" t="s">
        <v>24</v>
      </c>
      <c r="C257" t="s">
        <v>10</v>
      </c>
      <c r="D257">
        <v>9050</v>
      </c>
      <c r="E257">
        <v>33.6</v>
      </c>
      <c r="F257">
        <v>464.84</v>
      </c>
    </row>
    <row r="258" spans="1:6">
      <c r="A258" s="5">
        <v>2022</v>
      </c>
      <c r="B258" t="s">
        <v>24</v>
      </c>
      <c r="C258" t="s">
        <v>11</v>
      </c>
      <c r="D258">
        <v>4446</v>
      </c>
      <c r="E258">
        <v>29.2</v>
      </c>
      <c r="F258">
        <v>247.66</v>
      </c>
    </row>
    <row r="259" spans="1:6">
      <c r="A259" s="5">
        <v>2022</v>
      </c>
      <c r="B259" t="s">
        <v>24</v>
      </c>
      <c r="C259" t="s">
        <v>12</v>
      </c>
      <c r="D259">
        <v>2045</v>
      </c>
      <c r="E259">
        <v>26.82</v>
      </c>
      <c r="F259">
        <v>117.7</v>
      </c>
    </row>
    <row r="260" spans="1:6">
      <c r="A260" s="5">
        <v>2022</v>
      </c>
      <c r="B260" t="s">
        <v>24</v>
      </c>
      <c r="C260" t="s">
        <v>13</v>
      </c>
      <c r="D260">
        <v>7893</v>
      </c>
      <c r="E260">
        <v>41.39</v>
      </c>
      <c r="F260">
        <v>393.99</v>
      </c>
    </row>
    <row r="261" spans="1:6">
      <c r="A261" s="5">
        <v>2022</v>
      </c>
      <c r="B261" t="s">
        <v>24</v>
      </c>
      <c r="C261" t="s">
        <v>14</v>
      </c>
      <c r="D261">
        <v>2693</v>
      </c>
      <c r="E261">
        <v>35.57</v>
      </c>
      <c r="F261">
        <v>119.58</v>
      </c>
    </row>
    <row r="262" spans="1:6">
      <c r="A262" s="5">
        <v>2022</v>
      </c>
      <c r="B262" t="s">
        <v>24</v>
      </c>
      <c r="C262" t="s">
        <v>15</v>
      </c>
      <c r="D262">
        <v>4436</v>
      </c>
      <c r="E262">
        <v>42.2</v>
      </c>
      <c r="F262">
        <v>227.11</v>
      </c>
    </row>
    <row r="263" spans="1:6">
      <c r="A263" s="5">
        <v>2022</v>
      </c>
      <c r="B263" t="s">
        <v>24</v>
      </c>
      <c r="C263" t="s">
        <v>16</v>
      </c>
      <c r="D263">
        <v>9754</v>
      </c>
      <c r="E263">
        <v>46.13</v>
      </c>
      <c r="F263">
        <v>447.96</v>
      </c>
    </row>
    <row r="264" spans="1:6">
      <c r="A264" s="5">
        <v>2022</v>
      </c>
      <c r="B264" t="s">
        <v>24</v>
      </c>
      <c r="C264" t="s">
        <v>7</v>
      </c>
      <c r="D264">
        <v>6895</v>
      </c>
      <c r="E264">
        <v>34.69</v>
      </c>
      <c r="F264">
        <v>358.79</v>
      </c>
    </row>
    <row r="265" spans="1:6">
      <c r="A265" s="5">
        <v>2022</v>
      </c>
      <c r="B265" t="s">
        <v>24</v>
      </c>
      <c r="C265" t="s">
        <v>8</v>
      </c>
      <c r="D265">
        <v>4354</v>
      </c>
      <c r="E265">
        <v>49.22</v>
      </c>
      <c r="F265">
        <v>203.03</v>
      </c>
    </row>
    <row r="266" spans="1:6">
      <c r="A266" s="5">
        <v>2022</v>
      </c>
      <c r="B266" t="s">
        <v>24</v>
      </c>
      <c r="C266" t="s">
        <v>9</v>
      </c>
      <c r="D266">
        <v>1225</v>
      </c>
      <c r="E266">
        <v>34.32</v>
      </c>
      <c r="F266">
        <v>77.55</v>
      </c>
    </row>
    <row r="267" spans="1:6">
      <c r="A267" s="5">
        <v>2022</v>
      </c>
      <c r="B267" t="s">
        <v>24</v>
      </c>
      <c r="C267" t="s">
        <v>10</v>
      </c>
      <c r="D267">
        <v>5893</v>
      </c>
      <c r="E267">
        <v>35.47</v>
      </c>
      <c r="F267">
        <v>281.11</v>
      </c>
    </row>
    <row r="268" spans="1:6">
      <c r="A268" s="5">
        <v>2022</v>
      </c>
      <c r="B268" t="s">
        <v>24</v>
      </c>
      <c r="C268" t="s">
        <v>11</v>
      </c>
      <c r="D268">
        <v>8022</v>
      </c>
      <c r="E268">
        <v>32.19</v>
      </c>
      <c r="F268">
        <v>370.08</v>
      </c>
    </row>
    <row r="269" spans="1:6">
      <c r="A269" s="5">
        <v>2022</v>
      </c>
      <c r="B269" t="s">
        <v>24</v>
      </c>
      <c r="C269" t="s">
        <v>12</v>
      </c>
      <c r="D269">
        <v>6600</v>
      </c>
      <c r="E269">
        <v>13.64</v>
      </c>
      <c r="F269">
        <v>356.61</v>
      </c>
    </row>
    <row r="270" spans="1:6">
      <c r="A270" s="5">
        <v>2022</v>
      </c>
      <c r="B270" t="s">
        <v>24</v>
      </c>
      <c r="C270" t="s">
        <v>13</v>
      </c>
      <c r="D270">
        <v>8996</v>
      </c>
      <c r="E270">
        <v>39.06</v>
      </c>
      <c r="F270">
        <v>432.01</v>
      </c>
    </row>
    <row r="271" spans="1:6">
      <c r="A271" s="5">
        <v>2022</v>
      </c>
      <c r="B271" t="s">
        <v>24</v>
      </c>
      <c r="C271" t="s">
        <v>14</v>
      </c>
      <c r="D271">
        <v>8683</v>
      </c>
      <c r="E271">
        <v>31.9</v>
      </c>
      <c r="F271">
        <v>410.26</v>
      </c>
    </row>
    <row r="272" spans="1:6">
      <c r="A272" s="5">
        <v>2022</v>
      </c>
      <c r="B272" t="s">
        <v>24</v>
      </c>
      <c r="C272" t="s">
        <v>15</v>
      </c>
      <c r="D272">
        <v>5642</v>
      </c>
      <c r="E272">
        <v>28.04</v>
      </c>
      <c r="F272">
        <v>313.82</v>
      </c>
    </row>
    <row r="273" spans="1:6">
      <c r="A273" s="5">
        <v>2022</v>
      </c>
      <c r="B273" t="s">
        <v>24</v>
      </c>
      <c r="C273" t="s">
        <v>16</v>
      </c>
      <c r="D273">
        <v>8679</v>
      </c>
      <c r="E273">
        <v>46.42</v>
      </c>
      <c r="F273">
        <v>460.27</v>
      </c>
    </row>
    <row r="274" spans="1:6">
      <c r="A274" s="5">
        <v>2022</v>
      </c>
      <c r="B274" t="s">
        <v>24</v>
      </c>
      <c r="C274" t="s">
        <v>7</v>
      </c>
      <c r="D274">
        <v>9208</v>
      </c>
      <c r="E274">
        <v>21.92</v>
      </c>
      <c r="F274">
        <v>468.16</v>
      </c>
    </row>
    <row r="275" spans="1:6">
      <c r="A275" s="5">
        <v>2022</v>
      </c>
      <c r="B275" t="s">
        <v>24</v>
      </c>
      <c r="C275" t="s">
        <v>8</v>
      </c>
      <c r="D275">
        <v>8339</v>
      </c>
      <c r="E275">
        <v>30.94</v>
      </c>
      <c r="F275">
        <v>428.3</v>
      </c>
    </row>
    <row r="276" spans="1:6">
      <c r="A276" s="5">
        <v>2022</v>
      </c>
      <c r="B276" t="s">
        <v>24</v>
      </c>
      <c r="C276" t="s">
        <v>9</v>
      </c>
      <c r="D276">
        <v>3205</v>
      </c>
      <c r="E276">
        <v>37.909999999999997</v>
      </c>
      <c r="F276">
        <v>158.61000000000001</v>
      </c>
    </row>
    <row r="277" spans="1:6">
      <c r="A277" s="5">
        <v>2022</v>
      </c>
      <c r="B277" t="s">
        <v>25</v>
      </c>
      <c r="C277" t="s">
        <v>10</v>
      </c>
      <c r="D277">
        <v>2069</v>
      </c>
      <c r="E277">
        <v>41.86</v>
      </c>
      <c r="F277">
        <v>90.04</v>
      </c>
    </row>
    <row r="278" spans="1:6">
      <c r="A278" s="5">
        <v>2022</v>
      </c>
      <c r="B278" t="s">
        <v>25</v>
      </c>
      <c r="C278" t="s">
        <v>11</v>
      </c>
      <c r="D278">
        <v>4444</v>
      </c>
      <c r="E278">
        <v>28.37</v>
      </c>
      <c r="F278">
        <v>251.43</v>
      </c>
    </row>
    <row r="279" spans="1:6">
      <c r="A279" s="5">
        <v>2022</v>
      </c>
      <c r="B279" t="s">
        <v>25</v>
      </c>
      <c r="C279" t="s">
        <v>12</v>
      </c>
      <c r="D279">
        <v>2060</v>
      </c>
      <c r="E279">
        <v>43.68</v>
      </c>
      <c r="F279">
        <v>120.78</v>
      </c>
    </row>
    <row r="280" spans="1:6">
      <c r="A280" s="5">
        <v>2022</v>
      </c>
      <c r="B280" t="s">
        <v>25</v>
      </c>
      <c r="C280" t="s">
        <v>13</v>
      </c>
      <c r="D280">
        <v>3327</v>
      </c>
      <c r="E280">
        <v>40.76</v>
      </c>
      <c r="F280">
        <v>150.07</v>
      </c>
    </row>
    <row r="281" spans="1:6">
      <c r="A281" s="5">
        <v>2022</v>
      </c>
      <c r="B281" t="s">
        <v>25</v>
      </c>
      <c r="C281" t="s">
        <v>14</v>
      </c>
      <c r="D281">
        <v>4420</v>
      </c>
      <c r="E281">
        <v>12.65</v>
      </c>
      <c r="F281">
        <v>256.72000000000003</v>
      </c>
    </row>
    <row r="282" spans="1:6">
      <c r="A282" s="5">
        <v>2022</v>
      </c>
      <c r="B282" t="s">
        <v>25</v>
      </c>
      <c r="C282" t="s">
        <v>15</v>
      </c>
      <c r="D282">
        <v>1301</v>
      </c>
      <c r="E282">
        <v>11.83</v>
      </c>
      <c r="F282">
        <v>126.54</v>
      </c>
    </row>
    <row r="283" spans="1:6">
      <c r="A283" s="5">
        <v>2022</v>
      </c>
      <c r="B283" t="s">
        <v>25</v>
      </c>
      <c r="C283" t="s">
        <v>16</v>
      </c>
      <c r="D283">
        <v>1606</v>
      </c>
      <c r="E283">
        <v>34.83</v>
      </c>
      <c r="F283">
        <v>102.28</v>
      </c>
    </row>
    <row r="284" spans="1:6">
      <c r="A284" s="5">
        <v>2022</v>
      </c>
      <c r="B284" t="s">
        <v>25</v>
      </c>
      <c r="C284" t="s">
        <v>7</v>
      </c>
      <c r="D284">
        <v>4170</v>
      </c>
      <c r="E284">
        <v>23.9</v>
      </c>
      <c r="F284">
        <v>246.58</v>
      </c>
    </row>
    <row r="285" spans="1:6">
      <c r="A285" s="5">
        <v>2022</v>
      </c>
      <c r="B285" t="s">
        <v>25</v>
      </c>
      <c r="C285" t="s">
        <v>8</v>
      </c>
      <c r="D285">
        <v>1699</v>
      </c>
      <c r="E285">
        <v>18.37</v>
      </c>
      <c r="F285">
        <v>140.27000000000001</v>
      </c>
    </row>
    <row r="286" spans="1:6">
      <c r="A286" s="5">
        <v>2022</v>
      </c>
      <c r="B286" t="s">
        <v>25</v>
      </c>
      <c r="C286" t="s">
        <v>9</v>
      </c>
      <c r="D286">
        <v>6088</v>
      </c>
      <c r="E286">
        <v>33.19</v>
      </c>
      <c r="F286">
        <v>341.67</v>
      </c>
    </row>
    <row r="287" spans="1:6">
      <c r="A287" s="5">
        <v>2022</v>
      </c>
      <c r="B287" t="s">
        <v>25</v>
      </c>
      <c r="C287" t="s">
        <v>10</v>
      </c>
      <c r="D287">
        <v>1190</v>
      </c>
      <c r="E287">
        <v>23.66</v>
      </c>
      <c r="F287">
        <v>101.68</v>
      </c>
    </row>
    <row r="288" spans="1:6">
      <c r="A288" s="5">
        <v>2022</v>
      </c>
      <c r="B288" t="s">
        <v>25</v>
      </c>
      <c r="C288" t="s">
        <v>11</v>
      </c>
      <c r="D288">
        <v>1980</v>
      </c>
      <c r="E288">
        <v>31.49</v>
      </c>
      <c r="F288">
        <v>114.11</v>
      </c>
    </row>
    <row r="289" spans="1:6">
      <c r="A289" s="5">
        <v>2022</v>
      </c>
      <c r="B289" t="s">
        <v>25</v>
      </c>
      <c r="C289" t="s">
        <v>12</v>
      </c>
      <c r="D289">
        <v>3975</v>
      </c>
      <c r="E289">
        <v>28.4</v>
      </c>
      <c r="F289">
        <v>207.01</v>
      </c>
    </row>
    <row r="290" spans="1:6">
      <c r="A290" s="5">
        <v>2022</v>
      </c>
      <c r="B290" t="s">
        <v>25</v>
      </c>
      <c r="C290" t="s">
        <v>13</v>
      </c>
      <c r="D290">
        <v>7102</v>
      </c>
      <c r="E290">
        <v>33.39</v>
      </c>
      <c r="F290">
        <v>367.1</v>
      </c>
    </row>
    <row r="291" spans="1:6">
      <c r="A291" s="5">
        <v>2022</v>
      </c>
      <c r="B291" t="s">
        <v>25</v>
      </c>
      <c r="C291" t="s">
        <v>14</v>
      </c>
      <c r="D291">
        <v>2184</v>
      </c>
      <c r="E291">
        <v>26.01</v>
      </c>
      <c r="F291">
        <v>117.3</v>
      </c>
    </row>
    <row r="292" spans="1:6">
      <c r="A292" s="5">
        <v>2022</v>
      </c>
      <c r="B292" t="s">
        <v>25</v>
      </c>
      <c r="C292" t="s">
        <v>15</v>
      </c>
      <c r="D292">
        <v>4327</v>
      </c>
      <c r="E292">
        <v>37.909999999999997</v>
      </c>
      <c r="F292">
        <v>181.81</v>
      </c>
    </row>
    <row r="293" spans="1:6">
      <c r="A293" s="5">
        <v>2022</v>
      </c>
      <c r="B293" t="s">
        <v>25</v>
      </c>
      <c r="C293" t="s">
        <v>16</v>
      </c>
      <c r="D293">
        <v>4394</v>
      </c>
      <c r="E293">
        <v>17.2</v>
      </c>
      <c r="F293">
        <v>243.47</v>
      </c>
    </row>
    <row r="294" spans="1:6">
      <c r="A294" s="5">
        <v>2022</v>
      </c>
      <c r="B294" t="s">
        <v>25</v>
      </c>
      <c r="C294" t="s">
        <v>7</v>
      </c>
      <c r="D294">
        <v>9319</v>
      </c>
      <c r="E294">
        <v>37.86</v>
      </c>
      <c r="F294">
        <v>477.67</v>
      </c>
    </row>
    <row r="295" spans="1:6">
      <c r="A295" s="5">
        <v>2022</v>
      </c>
      <c r="B295" t="s">
        <v>25</v>
      </c>
      <c r="C295" t="s">
        <v>8</v>
      </c>
      <c r="D295">
        <v>2816</v>
      </c>
      <c r="E295">
        <v>26.47</v>
      </c>
      <c r="F295">
        <v>147.29</v>
      </c>
    </row>
    <row r="296" spans="1:6">
      <c r="A296" s="5">
        <v>2022</v>
      </c>
      <c r="B296" t="s">
        <v>25</v>
      </c>
      <c r="C296" t="s">
        <v>9</v>
      </c>
      <c r="D296">
        <v>6854</v>
      </c>
      <c r="E296">
        <v>44.97</v>
      </c>
      <c r="F296">
        <v>334.88</v>
      </c>
    </row>
    <row r="297" spans="1:6">
      <c r="A297" s="5">
        <v>2022</v>
      </c>
      <c r="B297" t="s">
        <v>25</v>
      </c>
      <c r="C297" t="s">
        <v>10</v>
      </c>
      <c r="D297">
        <v>7709</v>
      </c>
      <c r="E297">
        <v>30.61</v>
      </c>
      <c r="F297">
        <v>395.64</v>
      </c>
    </row>
    <row r="298" spans="1:6">
      <c r="A298" s="5">
        <v>2022</v>
      </c>
      <c r="B298" t="s">
        <v>25</v>
      </c>
      <c r="C298" t="s">
        <v>11</v>
      </c>
      <c r="D298">
        <v>1569</v>
      </c>
      <c r="E298">
        <v>48.92</v>
      </c>
      <c r="F298">
        <v>96.88</v>
      </c>
    </row>
    <row r="299" spans="1:6">
      <c r="A299" s="5">
        <v>2022</v>
      </c>
      <c r="B299" t="s">
        <v>25</v>
      </c>
      <c r="C299" t="s">
        <v>12</v>
      </c>
      <c r="D299">
        <v>6442</v>
      </c>
      <c r="E299">
        <v>34.08</v>
      </c>
      <c r="F299">
        <v>324.02</v>
      </c>
    </row>
    <row r="300" spans="1:6">
      <c r="A300" s="5">
        <v>2022</v>
      </c>
      <c r="B300" t="s">
        <v>25</v>
      </c>
      <c r="C300" t="s">
        <v>13</v>
      </c>
      <c r="D300">
        <v>2895</v>
      </c>
      <c r="E300">
        <v>18.95</v>
      </c>
      <c r="F300">
        <v>199.14</v>
      </c>
    </row>
    <row r="301" spans="1:6">
      <c r="A301" s="5">
        <v>2022</v>
      </c>
      <c r="B301" t="s">
        <v>25</v>
      </c>
      <c r="C301" t="s">
        <v>14</v>
      </c>
      <c r="D301">
        <v>3733</v>
      </c>
      <c r="E301">
        <v>42.87</v>
      </c>
      <c r="F301">
        <v>130.94999999999999</v>
      </c>
    </row>
    <row r="302" spans="1:6">
      <c r="A302" s="5">
        <v>2022</v>
      </c>
      <c r="B302" t="s">
        <v>25</v>
      </c>
      <c r="C302" t="s">
        <v>15</v>
      </c>
      <c r="D302">
        <v>4863</v>
      </c>
      <c r="E302">
        <v>23.8</v>
      </c>
      <c r="F302">
        <v>291.54000000000002</v>
      </c>
    </row>
    <row r="303" spans="1:6">
      <c r="A303" s="5">
        <v>2022</v>
      </c>
      <c r="B303" t="s">
        <v>25</v>
      </c>
      <c r="C303" t="s">
        <v>16</v>
      </c>
      <c r="D303">
        <v>8455</v>
      </c>
      <c r="E303">
        <v>23.9</v>
      </c>
      <c r="F303">
        <v>470.01</v>
      </c>
    </row>
    <row r="304" spans="1:6">
      <c r="A304" s="5">
        <v>2022</v>
      </c>
      <c r="B304" t="s">
        <v>25</v>
      </c>
      <c r="C304" t="s">
        <v>7</v>
      </c>
      <c r="D304">
        <v>5014</v>
      </c>
      <c r="E304">
        <v>11.27</v>
      </c>
      <c r="F304">
        <v>305.22000000000003</v>
      </c>
    </row>
    <row r="305" spans="1:6">
      <c r="A305" s="5">
        <v>2022</v>
      </c>
      <c r="B305" t="s">
        <v>25</v>
      </c>
      <c r="C305" t="s">
        <v>8</v>
      </c>
      <c r="D305">
        <v>2686</v>
      </c>
      <c r="E305">
        <v>31.95</v>
      </c>
      <c r="F305">
        <v>105.72</v>
      </c>
    </row>
    <row r="306" spans="1:6">
      <c r="A306" s="5">
        <v>2022</v>
      </c>
      <c r="B306" t="s">
        <v>25</v>
      </c>
      <c r="C306" t="s">
        <v>9</v>
      </c>
      <c r="D306">
        <v>4009</v>
      </c>
      <c r="E306">
        <v>31.38</v>
      </c>
      <c r="F306">
        <v>233.18</v>
      </c>
    </row>
    <row r="307" spans="1:6">
      <c r="A307" s="5">
        <v>2022</v>
      </c>
      <c r="B307" t="s">
        <v>25</v>
      </c>
      <c r="C307" t="s">
        <v>10</v>
      </c>
      <c r="D307">
        <v>8806</v>
      </c>
      <c r="E307">
        <v>24.24</v>
      </c>
      <c r="F307">
        <v>460.21</v>
      </c>
    </row>
    <row r="308" spans="1:6">
      <c r="A308" s="5">
        <v>2022</v>
      </c>
      <c r="B308" t="s">
        <v>26</v>
      </c>
      <c r="C308" t="s">
        <v>11</v>
      </c>
      <c r="D308">
        <v>1154</v>
      </c>
      <c r="E308">
        <v>45.77</v>
      </c>
      <c r="F308">
        <v>2.19</v>
      </c>
    </row>
    <row r="309" spans="1:6">
      <c r="A309" s="5">
        <v>2022</v>
      </c>
      <c r="B309" t="s">
        <v>26</v>
      </c>
      <c r="C309" t="s">
        <v>12</v>
      </c>
      <c r="D309">
        <v>2409</v>
      </c>
      <c r="E309">
        <v>15.15</v>
      </c>
      <c r="F309">
        <v>178.23</v>
      </c>
    </row>
    <row r="310" spans="1:6">
      <c r="A310" s="5">
        <v>2022</v>
      </c>
      <c r="B310" t="s">
        <v>26</v>
      </c>
      <c r="C310" t="s">
        <v>13</v>
      </c>
      <c r="D310">
        <v>1784</v>
      </c>
      <c r="E310">
        <v>23.2</v>
      </c>
      <c r="F310">
        <v>140.24</v>
      </c>
    </row>
    <row r="311" spans="1:6">
      <c r="A311" s="5">
        <v>2022</v>
      </c>
      <c r="B311" t="s">
        <v>26</v>
      </c>
      <c r="C311" t="s">
        <v>14</v>
      </c>
      <c r="D311">
        <v>9096</v>
      </c>
      <c r="E311">
        <v>22.86</v>
      </c>
      <c r="F311">
        <v>439.27</v>
      </c>
    </row>
    <row r="312" spans="1:6">
      <c r="A312" s="5">
        <v>2022</v>
      </c>
      <c r="B312" t="s">
        <v>26</v>
      </c>
      <c r="C312" t="s">
        <v>15</v>
      </c>
      <c r="D312">
        <v>8560</v>
      </c>
      <c r="E312">
        <v>13.69</v>
      </c>
      <c r="F312">
        <v>465.08</v>
      </c>
    </row>
    <row r="313" spans="1:6">
      <c r="A313" s="5">
        <v>2022</v>
      </c>
      <c r="B313" t="s">
        <v>26</v>
      </c>
      <c r="C313" t="s">
        <v>16</v>
      </c>
      <c r="D313">
        <v>8343</v>
      </c>
      <c r="E313">
        <v>29.25</v>
      </c>
      <c r="F313">
        <v>459.83</v>
      </c>
    </row>
    <row r="314" spans="1:6">
      <c r="A314" s="5">
        <v>2022</v>
      </c>
      <c r="B314" t="s">
        <v>26</v>
      </c>
      <c r="C314" t="s">
        <v>7</v>
      </c>
      <c r="D314">
        <v>8206</v>
      </c>
      <c r="E314">
        <v>37.51</v>
      </c>
      <c r="F314">
        <v>439.89</v>
      </c>
    </row>
    <row r="315" spans="1:6">
      <c r="A315" s="5">
        <v>2022</v>
      </c>
      <c r="B315" t="s">
        <v>26</v>
      </c>
      <c r="C315" t="s">
        <v>8</v>
      </c>
      <c r="D315">
        <v>6596</v>
      </c>
      <c r="E315">
        <v>30.47</v>
      </c>
      <c r="F315">
        <v>359.96</v>
      </c>
    </row>
    <row r="316" spans="1:6">
      <c r="A316" s="5">
        <v>2022</v>
      </c>
      <c r="B316" t="s">
        <v>26</v>
      </c>
      <c r="C316" t="s">
        <v>9</v>
      </c>
      <c r="D316">
        <v>6801</v>
      </c>
      <c r="E316">
        <v>16.28</v>
      </c>
      <c r="F316">
        <v>317.57</v>
      </c>
    </row>
    <row r="317" spans="1:6">
      <c r="A317" s="5">
        <v>2022</v>
      </c>
      <c r="B317" t="s">
        <v>26</v>
      </c>
      <c r="C317" t="s">
        <v>10</v>
      </c>
      <c r="D317">
        <v>3806</v>
      </c>
      <c r="E317">
        <v>25.09</v>
      </c>
      <c r="F317">
        <v>224.78</v>
      </c>
    </row>
    <row r="318" spans="1:6">
      <c r="A318" s="5">
        <v>2022</v>
      </c>
      <c r="B318" t="s">
        <v>26</v>
      </c>
      <c r="C318" t="s">
        <v>11</v>
      </c>
      <c r="D318">
        <v>1537</v>
      </c>
      <c r="E318">
        <v>10.1</v>
      </c>
      <c r="F318">
        <v>110.36</v>
      </c>
    </row>
    <row r="319" spans="1:6">
      <c r="A319" s="5">
        <v>2022</v>
      </c>
      <c r="B319" t="s">
        <v>26</v>
      </c>
      <c r="C319" t="s">
        <v>12</v>
      </c>
      <c r="D319">
        <v>6986</v>
      </c>
      <c r="E319">
        <v>44.73</v>
      </c>
      <c r="F319">
        <v>365.54</v>
      </c>
    </row>
    <row r="320" spans="1:6">
      <c r="A320" s="5">
        <v>2022</v>
      </c>
      <c r="B320" t="s">
        <v>26</v>
      </c>
      <c r="C320" t="s">
        <v>13</v>
      </c>
      <c r="D320">
        <v>2841</v>
      </c>
      <c r="E320">
        <v>13.38</v>
      </c>
      <c r="F320">
        <v>181.12</v>
      </c>
    </row>
    <row r="321" spans="1:6">
      <c r="A321" s="5">
        <v>2022</v>
      </c>
      <c r="B321" t="s">
        <v>26</v>
      </c>
      <c r="C321" t="s">
        <v>14</v>
      </c>
      <c r="D321">
        <v>9716</v>
      </c>
      <c r="E321">
        <v>33.89</v>
      </c>
      <c r="F321">
        <v>494.73</v>
      </c>
    </row>
    <row r="322" spans="1:6">
      <c r="A322" s="5">
        <v>2022</v>
      </c>
      <c r="B322" t="s">
        <v>26</v>
      </c>
      <c r="C322" t="s">
        <v>15</v>
      </c>
      <c r="D322">
        <v>7971</v>
      </c>
      <c r="E322">
        <v>49.45</v>
      </c>
      <c r="F322">
        <v>402.03</v>
      </c>
    </row>
    <row r="323" spans="1:6">
      <c r="A323" s="5">
        <v>2022</v>
      </c>
      <c r="B323" t="s">
        <v>26</v>
      </c>
      <c r="C323" t="s">
        <v>16</v>
      </c>
      <c r="D323">
        <v>6625</v>
      </c>
      <c r="E323">
        <v>31.46</v>
      </c>
      <c r="F323">
        <v>340.06</v>
      </c>
    </row>
    <row r="324" spans="1:6">
      <c r="A324" s="5">
        <v>2022</v>
      </c>
      <c r="B324" t="s">
        <v>27</v>
      </c>
      <c r="C324" t="s">
        <v>7</v>
      </c>
      <c r="D324">
        <v>3950</v>
      </c>
      <c r="E324">
        <v>46.96</v>
      </c>
      <c r="F324">
        <v>190.66</v>
      </c>
    </row>
    <row r="325" spans="1:6">
      <c r="A325" s="5">
        <v>2022</v>
      </c>
      <c r="B325" t="s">
        <v>27</v>
      </c>
      <c r="C325" t="s">
        <v>8</v>
      </c>
      <c r="D325">
        <v>8992</v>
      </c>
      <c r="E325">
        <v>19.440000000000001</v>
      </c>
      <c r="F325">
        <v>465.16</v>
      </c>
    </row>
    <row r="326" spans="1:6">
      <c r="A326" s="5">
        <v>2022</v>
      </c>
      <c r="B326" t="s">
        <v>27</v>
      </c>
      <c r="C326" t="s">
        <v>9</v>
      </c>
      <c r="D326">
        <v>5780</v>
      </c>
      <c r="E326">
        <v>40.4</v>
      </c>
      <c r="F326">
        <v>258.41000000000003</v>
      </c>
    </row>
    <row r="327" spans="1:6">
      <c r="A327" s="5">
        <v>2022</v>
      </c>
      <c r="B327" t="s">
        <v>27</v>
      </c>
      <c r="C327" t="s">
        <v>10</v>
      </c>
      <c r="D327">
        <v>3368</v>
      </c>
      <c r="E327">
        <v>31.25</v>
      </c>
      <c r="F327">
        <v>192.26</v>
      </c>
    </row>
    <row r="328" spans="1:6">
      <c r="A328" s="5">
        <v>2022</v>
      </c>
      <c r="B328" t="s">
        <v>27</v>
      </c>
      <c r="C328" t="s">
        <v>11</v>
      </c>
      <c r="D328">
        <v>7655</v>
      </c>
      <c r="E328">
        <v>38.82</v>
      </c>
      <c r="F328">
        <v>370.04</v>
      </c>
    </row>
    <row r="329" spans="1:6">
      <c r="A329" s="5">
        <v>2022</v>
      </c>
      <c r="B329" t="s">
        <v>27</v>
      </c>
      <c r="C329" t="s">
        <v>12</v>
      </c>
      <c r="D329">
        <v>9173</v>
      </c>
      <c r="E329">
        <v>12.49</v>
      </c>
      <c r="F329">
        <v>489.64</v>
      </c>
    </row>
    <row r="330" spans="1:6">
      <c r="A330" s="5">
        <v>2022</v>
      </c>
      <c r="B330" t="s">
        <v>27</v>
      </c>
      <c r="C330" t="s">
        <v>13</v>
      </c>
      <c r="D330">
        <v>5495</v>
      </c>
      <c r="E330">
        <v>15.91</v>
      </c>
      <c r="F330">
        <v>311.39999999999998</v>
      </c>
    </row>
    <row r="331" spans="1:6">
      <c r="A331" s="5">
        <v>2022</v>
      </c>
      <c r="B331" t="s">
        <v>27</v>
      </c>
      <c r="C331" t="s">
        <v>14</v>
      </c>
      <c r="D331">
        <v>7002</v>
      </c>
      <c r="E331">
        <v>15.32</v>
      </c>
      <c r="F331">
        <v>340.01</v>
      </c>
    </row>
    <row r="332" spans="1:6">
      <c r="A332" s="5">
        <v>2022</v>
      </c>
      <c r="B332" t="s">
        <v>27</v>
      </c>
      <c r="C332" t="s">
        <v>15</v>
      </c>
      <c r="D332">
        <v>7614</v>
      </c>
      <c r="E332">
        <v>37.49</v>
      </c>
      <c r="F332">
        <v>348.49</v>
      </c>
    </row>
    <row r="333" spans="1:6">
      <c r="A333" s="5">
        <v>2022</v>
      </c>
      <c r="B333" t="s">
        <v>27</v>
      </c>
      <c r="C333" t="s">
        <v>16</v>
      </c>
      <c r="D333">
        <v>6919</v>
      </c>
      <c r="E333">
        <v>43.78</v>
      </c>
      <c r="F333">
        <v>337.42</v>
      </c>
    </row>
    <row r="334" spans="1:6">
      <c r="A334" s="5">
        <v>2022</v>
      </c>
      <c r="B334" t="s">
        <v>27</v>
      </c>
      <c r="C334" t="s">
        <v>7</v>
      </c>
      <c r="D334">
        <v>1853</v>
      </c>
      <c r="E334">
        <v>39.979999999999997</v>
      </c>
      <c r="F334">
        <v>103.76</v>
      </c>
    </row>
    <row r="335" spans="1:6">
      <c r="A335" s="5">
        <v>2022</v>
      </c>
      <c r="B335" t="s">
        <v>27</v>
      </c>
      <c r="C335" t="s">
        <v>8</v>
      </c>
      <c r="D335">
        <v>5146</v>
      </c>
      <c r="E335">
        <v>11.22</v>
      </c>
      <c r="F335">
        <v>308.72000000000003</v>
      </c>
    </row>
    <row r="336" spans="1:6">
      <c r="A336" s="5">
        <v>2022</v>
      </c>
      <c r="B336" t="s">
        <v>27</v>
      </c>
      <c r="C336" t="s">
        <v>9</v>
      </c>
      <c r="D336">
        <v>4769</v>
      </c>
      <c r="E336">
        <v>44.69</v>
      </c>
      <c r="F336">
        <v>203</v>
      </c>
    </row>
    <row r="337" spans="1:6">
      <c r="A337" s="5">
        <v>2022</v>
      </c>
      <c r="B337" t="s">
        <v>27</v>
      </c>
      <c r="C337" t="s">
        <v>10</v>
      </c>
      <c r="D337">
        <v>1574</v>
      </c>
      <c r="E337">
        <v>24.17</v>
      </c>
      <c r="F337">
        <v>112.43</v>
      </c>
    </row>
    <row r="338" spans="1:6">
      <c r="A338" s="5">
        <v>2022</v>
      </c>
      <c r="B338" t="s">
        <v>27</v>
      </c>
      <c r="C338" t="s">
        <v>11</v>
      </c>
      <c r="D338">
        <v>2148</v>
      </c>
      <c r="E338">
        <v>25.89</v>
      </c>
      <c r="F338">
        <v>121.43</v>
      </c>
    </row>
    <row r="339" spans="1:6">
      <c r="A339" s="5">
        <v>2022</v>
      </c>
      <c r="B339" t="s">
        <v>27</v>
      </c>
      <c r="C339" t="s">
        <v>12</v>
      </c>
      <c r="D339">
        <v>7293</v>
      </c>
      <c r="E339">
        <v>14.19</v>
      </c>
      <c r="F339">
        <v>379.95</v>
      </c>
    </row>
    <row r="340" spans="1:6">
      <c r="A340" s="5">
        <v>2022</v>
      </c>
      <c r="B340" t="s">
        <v>27</v>
      </c>
      <c r="C340" t="s">
        <v>13</v>
      </c>
      <c r="D340">
        <v>7457</v>
      </c>
      <c r="E340">
        <v>39.5</v>
      </c>
      <c r="F340">
        <v>362.48</v>
      </c>
    </row>
    <row r="341" spans="1:6">
      <c r="A341" s="5">
        <v>2022</v>
      </c>
      <c r="B341" t="s">
        <v>27</v>
      </c>
      <c r="C341" t="s">
        <v>14</v>
      </c>
      <c r="D341">
        <v>8509</v>
      </c>
      <c r="E341">
        <v>17.29</v>
      </c>
      <c r="F341">
        <v>470.74</v>
      </c>
    </row>
    <row r="342" spans="1:6">
      <c r="A342" s="5">
        <v>2022</v>
      </c>
      <c r="B342" t="s">
        <v>27</v>
      </c>
      <c r="C342" t="s">
        <v>15</v>
      </c>
      <c r="D342">
        <v>5777</v>
      </c>
      <c r="E342">
        <v>32.56</v>
      </c>
      <c r="F342">
        <v>305.26</v>
      </c>
    </row>
    <row r="343" spans="1:6">
      <c r="A343" s="5">
        <v>2022</v>
      </c>
      <c r="B343" t="s">
        <v>27</v>
      </c>
      <c r="C343" t="s">
        <v>16</v>
      </c>
      <c r="D343">
        <v>4854</v>
      </c>
      <c r="E343">
        <v>43.63</v>
      </c>
      <c r="F343">
        <v>241.35</v>
      </c>
    </row>
    <row r="344" spans="1:6">
      <c r="A344" s="5">
        <v>2022</v>
      </c>
      <c r="B344" t="s">
        <v>27</v>
      </c>
      <c r="C344" t="s">
        <v>7</v>
      </c>
      <c r="D344">
        <v>3491</v>
      </c>
      <c r="E344">
        <v>13.57</v>
      </c>
      <c r="F344">
        <v>213.14</v>
      </c>
    </row>
    <row r="345" spans="1:6">
      <c r="A345" s="5">
        <v>2022</v>
      </c>
      <c r="B345" t="s">
        <v>27</v>
      </c>
      <c r="C345" t="s">
        <v>8</v>
      </c>
      <c r="D345">
        <v>4124</v>
      </c>
      <c r="E345">
        <v>31.41</v>
      </c>
      <c r="F345">
        <v>237.07</v>
      </c>
    </row>
    <row r="346" spans="1:6">
      <c r="A346" s="5">
        <v>2022</v>
      </c>
      <c r="B346" t="s">
        <v>27</v>
      </c>
      <c r="C346" t="s">
        <v>9</v>
      </c>
      <c r="D346">
        <v>6691</v>
      </c>
      <c r="E346">
        <v>19.329999999999998</v>
      </c>
      <c r="F346">
        <v>359.41</v>
      </c>
    </row>
    <row r="347" spans="1:6">
      <c r="A347" s="5">
        <v>2022</v>
      </c>
      <c r="B347" t="s">
        <v>27</v>
      </c>
      <c r="C347" t="s">
        <v>10</v>
      </c>
      <c r="D347">
        <v>4051</v>
      </c>
      <c r="E347">
        <v>23.72</v>
      </c>
      <c r="F347">
        <v>225.18</v>
      </c>
    </row>
    <row r="348" spans="1:6">
      <c r="A348" s="5">
        <v>2022</v>
      </c>
      <c r="B348" t="s">
        <v>27</v>
      </c>
      <c r="C348" t="s">
        <v>11</v>
      </c>
      <c r="D348">
        <v>1004</v>
      </c>
      <c r="E348">
        <v>28.96</v>
      </c>
      <c r="F348">
        <v>88.21</v>
      </c>
    </row>
    <row r="349" spans="1:6">
      <c r="A349" s="5">
        <v>2022</v>
      </c>
      <c r="B349" t="s">
        <v>27</v>
      </c>
      <c r="C349" t="s">
        <v>12</v>
      </c>
      <c r="D349">
        <v>6222</v>
      </c>
      <c r="E349">
        <v>24.2</v>
      </c>
      <c r="F349">
        <v>325.42</v>
      </c>
    </row>
    <row r="350" spans="1:6">
      <c r="A350" s="5">
        <v>2022</v>
      </c>
      <c r="B350" t="s">
        <v>27</v>
      </c>
      <c r="C350" t="s">
        <v>13</v>
      </c>
      <c r="D350">
        <v>6315</v>
      </c>
      <c r="E350">
        <v>35.950000000000003</v>
      </c>
      <c r="F350">
        <v>334.97</v>
      </c>
    </row>
    <row r="351" spans="1:6">
      <c r="A351" s="5">
        <v>2022</v>
      </c>
      <c r="B351" t="s">
        <v>27</v>
      </c>
      <c r="C351" t="s">
        <v>14</v>
      </c>
      <c r="D351">
        <v>5869</v>
      </c>
      <c r="E351">
        <v>29.18</v>
      </c>
      <c r="F351">
        <v>298.36</v>
      </c>
    </row>
    <row r="352" spans="1:6">
      <c r="A352" s="5">
        <v>2022</v>
      </c>
      <c r="B352" t="s">
        <v>27</v>
      </c>
      <c r="C352" t="s">
        <v>15</v>
      </c>
      <c r="D352">
        <v>1876</v>
      </c>
      <c r="E352">
        <v>33.369999999999997</v>
      </c>
      <c r="F352">
        <v>95.44</v>
      </c>
    </row>
    <row r="353" spans="1:6">
      <c r="A353" s="5">
        <v>2022</v>
      </c>
      <c r="B353" t="s">
        <v>27</v>
      </c>
      <c r="C353" t="s">
        <v>16</v>
      </c>
      <c r="D353">
        <v>8027</v>
      </c>
      <c r="E353">
        <v>39.47</v>
      </c>
      <c r="F353">
        <v>401.9</v>
      </c>
    </row>
    <row r="354" spans="1:6">
      <c r="A354" s="5">
        <v>2022</v>
      </c>
      <c r="B354" t="s">
        <v>27</v>
      </c>
      <c r="C354" t="s">
        <v>7</v>
      </c>
      <c r="D354">
        <v>5142</v>
      </c>
      <c r="E354">
        <v>32.31</v>
      </c>
      <c r="F354">
        <v>278.63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3A2F-9E50-4F3E-BB95-0650F67A2FFC}">
  <dimension ref="A1:P354"/>
  <sheetViews>
    <sheetView tabSelected="1" topLeftCell="D1" zoomScale="91" zoomScaleNormal="100" workbookViewId="0">
      <selection activeCell="K8" sqref="K8"/>
    </sheetView>
  </sheetViews>
  <sheetFormatPr defaultColWidth="9" defaultRowHeight="14.5"/>
  <cols>
    <col min="1" max="1" width="17" customWidth="1"/>
    <col min="2" max="2" width="15.1796875" customWidth="1"/>
    <col min="3" max="3" width="16.90625" customWidth="1"/>
    <col min="4" max="4" width="24" customWidth="1"/>
    <col min="5" max="5" width="20.6328125" customWidth="1"/>
    <col min="6" max="6" width="14" customWidth="1"/>
    <col min="8" max="8" width="41.453125" customWidth="1"/>
    <col min="9" max="9" width="31.08984375" customWidth="1"/>
    <col min="10" max="10" width="19" customWidth="1"/>
    <col min="11" max="11" width="9.453125" bestFit="1" customWidth="1"/>
    <col min="12" max="12" width="12.6328125" customWidth="1"/>
    <col min="13" max="13" width="16.1796875" customWidth="1"/>
    <col min="14" max="14" width="13.54296875" customWidth="1"/>
    <col min="15" max="15" width="13.6328125" customWidth="1"/>
    <col min="16" max="16" width="11.453125" customWidth="1"/>
  </cols>
  <sheetData>
    <row r="1" spans="1:12" ht="19" thickBot="1">
      <c r="A1" s="3"/>
      <c r="B1" s="3"/>
      <c r="C1" s="3"/>
      <c r="D1" s="6" t="s">
        <v>28</v>
      </c>
      <c r="E1" s="7"/>
      <c r="F1" s="7"/>
      <c r="H1" s="11" t="s">
        <v>37</v>
      </c>
      <c r="J1" s="2"/>
      <c r="K1" s="2"/>
      <c r="L1" s="2"/>
    </row>
    <row r="3" spans="1:12" ht="15.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H3" s="1"/>
      <c r="I3" s="1"/>
      <c r="J3" s="25"/>
    </row>
    <row r="4" spans="1:12">
      <c r="A4" s="5">
        <v>2022</v>
      </c>
      <c r="B4" t="s">
        <v>6</v>
      </c>
      <c r="C4" t="s">
        <v>7</v>
      </c>
      <c r="D4">
        <v>8270</v>
      </c>
      <c r="E4">
        <v>37.979999999999997</v>
      </c>
      <c r="F4">
        <v>447.51</v>
      </c>
      <c r="H4" s="1"/>
      <c r="I4" s="10"/>
    </row>
    <row r="5" spans="1:12">
      <c r="A5" s="5">
        <v>2022</v>
      </c>
      <c r="B5" t="s">
        <v>6</v>
      </c>
      <c r="C5" t="s">
        <v>8</v>
      </c>
      <c r="D5">
        <v>1860</v>
      </c>
      <c r="E5">
        <v>15.53</v>
      </c>
      <c r="F5">
        <v>164.08</v>
      </c>
    </row>
    <row r="6" spans="1:12">
      <c r="A6" s="5">
        <v>2022</v>
      </c>
      <c r="B6" t="s">
        <v>6</v>
      </c>
      <c r="C6" t="s">
        <v>9</v>
      </c>
      <c r="D6">
        <v>6390</v>
      </c>
      <c r="E6">
        <v>15.31</v>
      </c>
      <c r="F6">
        <v>320.67</v>
      </c>
      <c r="H6" s="1" t="s">
        <v>38</v>
      </c>
    </row>
    <row r="7" spans="1:12">
      <c r="A7" s="5">
        <v>2022</v>
      </c>
      <c r="B7" t="s">
        <v>6</v>
      </c>
      <c r="C7" t="s">
        <v>10</v>
      </c>
      <c r="D7">
        <v>6191</v>
      </c>
      <c r="E7">
        <v>48.78</v>
      </c>
      <c r="F7">
        <v>278.29000000000002</v>
      </c>
      <c r="H7" s="1" t="s">
        <v>76</v>
      </c>
    </row>
    <row r="8" spans="1:12">
      <c r="A8" s="5">
        <v>2022</v>
      </c>
      <c r="B8" t="s">
        <v>6</v>
      </c>
      <c r="C8" t="s">
        <v>11</v>
      </c>
      <c r="D8">
        <v>6734</v>
      </c>
      <c r="E8">
        <v>38.58</v>
      </c>
      <c r="F8">
        <v>344.92</v>
      </c>
    </row>
    <row r="9" spans="1:12">
      <c r="A9" s="5">
        <v>2022</v>
      </c>
      <c r="B9" t="s">
        <v>6</v>
      </c>
      <c r="C9" t="s">
        <v>12</v>
      </c>
      <c r="D9">
        <v>7265</v>
      </c>
      <c r="E9">
        <v>11.64</v>
      </c>
      <c r="F9">
        <v>416.07</v>
      </c>
      <c r="H9" t="s">
        <v>39</v>
      </c>
    </row>
    <row r="10" spans="1:12" ht="15" thickBot="1">
      <c r="A10" s="5">
        <v>2022</v>
      </c>
      <c r="B10" t="s">
        <v>6</v>
      </c>
      <c r="C10" t="s">
        <v>13</v>
      </c>
      <c r="D10">
        <v>1466</v>
      </c>
      <c r="E10">
        <v>25.95</v>
      </c>
      <c r="F10">
        <v>91.93</v>
      </c>
    </row>
    <row r="11" spans="1:12">
      <c r="A11" s="5">
        <v>2022</v>
      </c>
      <c r="B11" t="s">
        <v>6</v>
      </c>
      <c r="C11" t="s">
        <v>14</v>
      </c>
      <c r="D11">
        <v>5426</v>
      </c>
      <c r="E11">
        <v>27.34</v>
      </c>
      <c r="F11">
        <v>255.73</v>
      </c>
      <c r="H11" s="24" t="s">
        <v>40</v>
      </c>
      <c r="I11" s="24"/>
    </row>
    <row r="12" spans="1:12">
      <c r="A12" s="5">
        <v>2022</v>
      </c>
      <c r="B12" t="s">
        <v>6</v>
      </c>
      <c r="C12" t="s">
        <v>15</v>
      </c>
      <c r="D12">
        <v>6578</v>
      </c>
      <c r="E12">
        <v>39.76</v>
      </c>
      <c r="F12">
        <v>341.12</v>
      </c>
      <c r="H12" s="21" t="s">
        <v>41</v>
      </c>
      <c r="I12" s="21">
        <v>0.98578326074101619</v>
      </c>
    </row>
    <row r="13" spans="1:12">
      <c r="A13" s="5">
        <v>2022</v>
      </c>
      <c r="B13" t="s">
        <v>6</v>
      </c>
      <c r="C13" t="s">
        <v>16</v>
      </c>
      <c r="D13">
        <v>9322</v>
      </c>
      <c r="E13">
        <v>20.03</v>
      </c>
      <c r="F13">
        <v>488.17</v>
      </c>
      <c r="H13" s="21" t="s">
        <v>42</v>
      </c>
      <c r="I13" s="21">
        <v>0.97176863715719031</v>
      </c>
    </row>
    <row r="14" spans="1:12">
      <c r="A14" s="5">
        <v>2022</v>
      </c>
      <c r="B14" t="s">
        <v>6</v>
      </c>
      <c r="C14" t="s">
        <v>7</v>
      </c>
      <c r="D14">
        <v>2685</v>
      </c>
      <c r="E14">
        <v>17.37</v>
      </c>
      <c r="F14">
        <v>159.28</v>
      </c>
      <c r="H14" s="21" t="s">
        <v>43</v>
      </c>
      <c r="I14" s="21">
        <v>0.97160638794545007</v>
      </c>
    </row>
    <row r="15" spans="1:12">
      <c r="A15" s="5">
        <v>2022</v>
      </c>
      <c r="B15" t="s">
        <v>6</v>
      </c>
      <c r="C15" t="s">
        <v>8</v>
      </c>
      <c r="D15">
        <v>1769</v>
      </c>
      <c r="E15">
        <v>13.23</v>
      </c>
      <c r="F15">
        <v>77.010000000000005</v>
      </c>
      <c r="H15" s="21" t="s">
        <v>44</v>
      </c>
      <c r="I15" s="21">
        <v>21.633502606702194</v>
      </c>
    </row>
    <row r="16" spans="1:12" ht="15" thickBot="1">
      <c r="A16" s="5">
        <v>2022</v>
      </c>
      <c r="B16" t="s">
        <v>6</v>
      </c>
      <c r="C16" t="s">
        <v>9</v>
      </c>
      <c r="D16">
        <v>7949</v>
      </c>
      <c r="E16">
        <v>27.13</v>
      </c>
      <c r="F16">
        <v>430.84</v>
      </c>
      <c r="H16" s="22" t="s">
        <v>45</v>
      </c>
      <c r="I16" s="22">
        <v>351</v>
      </c>
    </row>
    <row r="17" spans="1:16">
      <c r="A17" s="5">
        <v>2022</v>
      </c>
      <c r="B17" t="s">
        <v>6</v>
      </c>
      <c r="C17" t="s">
        <v>10</v>
      </c>
      <c r="D17">
        <v>3433</v>
      </c>
      <c r="E17">
        <v>37.54</v>
      </c>
      <c r="F17">
        <v>179.51</v>
      </c>
    </row>
    <row r="18" spans="1:16" ht="15" thickBot="1">
      <c r="A18" s="5">
        <v>2022</v>
      </c>
      <c r="B18" t="s">
        <v>6</v>
      </c>
      <c r="C18" t="s">
        <v>11</v>
      </c>
      <c r="D18">
        <v>6311</v>
      </c>
      <c r="E18">
        <v>12.33</v>
      </c>
      <c r="F18">
        <v>386.66</v>
      </c>
      <c r="H18" t="s">
        <v>46</v>
      </c>
    </row>
    <row r="19" spans="1:16">
      <c r="A19" s="5">
        <v>2022</v>
      </c>
      <c r="B19" t="s">
        <v>6</v>
      </c>
      <c r="C19" t="s">
        <v>12</v>
      </c>
      <c r="D19">
        <v>6051</v>
      </c>
      <c r="E19">
        <v>46.61</v>
      </c>
      <c r="F19">
        <v>295.13</v>
      </c>
      <c r="H19" s="23"/>
      <c r="I19" s="23" t="s">
        <v>51</v>
      </c>
      <c r="J19" s="23" t="s">
        <v>52</v>
      </c>
      <c r="K19" s="23" t="s">
        <v>53</v>
      </c>
      <c r="L19" s="23" t="s">
        <v>54</v>
      </c>
      <c r="M19" s="23" t="s">
        <v>55</v>
      </c>
    </row>
    <row r="20" spans="1:16">
      <c r="A20" s="5">
        <v>2022</v>
      </c>
      <c r="B20" t="s">
        <v>6</v>
      </c>
      <c r="C20" t="s">
        <v>13</v>
      </c>
      <c r="D20">
        <v>7420</v>
      </c>
      <c r="E20">
        <v>27.69</v>
      </c>
      <c r="F20">
        <v>399.09</v>
      </c>
      <c r="H20" s="21" t="s">
        <v>47</v>
      </c>
      <c r="I20" s="21">
        <v>2</v>
      </c>
      <c r="J20" s="21">
        <v>5606140.2605670784</v>
      </c>
      <c r="K20" s="21">
        <v>2803070.1302835392</v>
      </c>
      <c r="L20" s="21">
        <v>5989.3581406898338</v>
      </c>
      <c r="M20" s="21">
        <v>2.6751049433995555E-270</v>
      </c>
    </row>
    <row r="21" spans="1:16">
      <c r="A21" s="5">
        <v>2022</v>
      </c>
      <c r="B21" t="s">
        <v>6</v>
      </c>
      <c r="C21" t="s">
        <v>14</v>
      </c>
      <c r="D21">
        <v>2184</v>
      </c>
      <c r="E21">
        <v>19.59</v>
      </c>
      <c r="F21">
        <v>152.33000000000001</v>
      </c>
      <c r="H21" s="21" t="s">
        <v>48</v>
      </c>
      <c r="I21" s="21">
        <v>348</v>
      </c>
      <c r="J21" s="21">
        <v>162866.93539189835</v>
      </c>
      <c r="K21" s="21">
        <v>468.00843503419065</v>
      </c>
      <c r="L21" s="21"/>
      <c r="M21" s="21"/>
    </row>
    <row r="22" spans="1:16" ht="15" thickBot="1">
      <c r="A22" s="5">
        <v>2022</v>
      </c>
      <c r="B22" t="s">
        <v>6</v>
      </c>
      <c r="C22" t="s">
        <v>15</v>
      </c>
      <c r="D22">
        <v>5555</v>
      </c>
      <c r="E22">
        <v>13.75</v>
      </c>
      <c r="F22">
        <v>276.32</v>
      </c>
      <c r="H22" s="22" t="s">
        <v>49</v>
      </c>
      <c r="I22" s="22">
        <v>350</v>
      </c>
      <c r="J22" s="22">
        <v>5769007.1959589766</v>
      </c>
      <c r="K22" s="22"/>
      <c r="L22" s="22"/>
      <c r="M22" s="22"/>
    </row>
    <row r="23" spans="1:16" ht="15" thickBot="1">
      <c r="A23" s="5">
        <v>2022</v>
      </c>
      <c r="B23" t="s">
        <v>6</v>
      </c>
      <c r="C23" t="s">
        <v>16</v>
      </c>
      <c r="D23">
        <v>4385</v>
      </c>
      <c r="E23">
        <v>17.309999999999999</v>
      </c>
      <c r="F23">
        <v>300.81</v>
      </c>
    </row>
    <row r="24" spans="1:16">
      <c r="A24" s="5">
        <v>2022</v>
      </c>
      <c r="B24" t="s">
        <v>6</v>
      </c>
      <c r="C24" t="s">
        <v>7</v>
      </c>
      <c r="D24">
        <v>7396</v>
      </c>
      <c r="E24">
        <v>47.38</v>
      </c>
      <c r="F24">
        <v>354.32</v>
      </c>
      <c r="H24" s="23"/>
      <c r="I24" s="23" t="s">
        <v>56</v>
      </c>
      <c r="J24" s="23" t="s">
        <v>44</v>
      </c>
      <c r="K24" s="23" t="s">
        <v>57</v>
      </c>
      <c r="L24" s="23" t="s">
        <v>58</v>
      </c>
      <c r="M24" s="23" t="s">
        <v>59</v>
      </c>
      <c r="N24" s="23" t="s">
        <v>60</v>
      </c>
      <c r="O24" s="23" t="s">
        <v>61</v>
      </c>
      <c r="P24" s="23" t="s">
        <v>62</v>
      </c>
    </row>
    <row r="25" spans="1:16">
      <c r="A25" s="5">
        <v>2022</v>
      </c>
      <c r="B25" t="s">
        <v>6</v>
      </c>
      <c r="C25" t="s">
        <v>8</v>
      </c>
      <c r="D25">
        <v>9666</v>
      </c>
      <c r="E25">
        <v>35.53</v>
      </c>
      <c r="F25">
        <v>500.55</v>
      </c>
      <c r="H25" s="21" t="s">
        <v>50</v>
      </c>
      <c r="I25" s="21">
        <v>52.893110736033897</v>
      </c>
      <c r="J25" s="21">
        <v>4.0968496940977452</v>
      </c>
      <c r="K25" s="21">
        <v>12.910678859474874</v>
      </c>
      <c r="L25" s="21">
        <v>1.9933349644996815E-31</v>
      </c>
      <c r="M25" s="21">
        <v>44.835409456488406</v>
      </c>
      <c r="N25" s="21">
        <v>60.950812015579316</v>
      </c>
      <c r="O25" s="21">
        <v>44.835409456488406</v>
      </c>
      <c r="P25" s="21">
        <v>60.950812015579316</v>
      </c>
    </row>
    <row r="26" spans="1:16">
      <c r="A26" s="5">
        <v>2022</v>
      </c>
      <c r="B26" t="s">
        <v>6</v>
      </c>
      <c r="C26" t="s">
        <v>9</v>
      </c>
      <c r="D26">
        <v>3558</v>
      </c>
      <c r="E26">
        <v>30.67</v>
      </c>
      <c r="F26">
        <v>203.91</v>
      </c>
      <c r="H26" s="21" t="s">
        <v>74</v>
      </c>
      <c r="I26" s="21">
        <v>4.9467263941560181E-2</v>
      </c>
      <c r="J26" s="21">
        <v>4.5377644807411365E-4</v>
      </c>
      <c r="K26" s="21">
        <v>109.01240941768947</v>
      </c>
      <c r="L26" s="21">
        <v>4.457772508619471E-271</v>
      </c>
      <c r="M26" s="21">
        <v>4.857477450716817E-2</v>
      </c>
      <c r="N26" s="21">
        <v>5.0359753375952193E-2</v>
      </c>
      <c r="O26" s="21">
        <v>4.857477450716817E-2</v>
      </c>
      <c r="P26" s="21">
        <v>5.0359753375952193E-2</v>
      </c>
    </row>
    <row r="27" spans="1:16" ht="15" thickBot="1">
      <c r="A27" s="5">
        <v>2022</v>
      </c>
      <c r="B27" t="s">
        <v>6</v>
      </c>
      <c r="C27" t="s">
        <v>10</v>
      </c>
      <c r="D27">
        <v>8849</v>
      </c>
      <c r="E27">
        <v>36.28</v>
      </c>
      <c r="F27">
        <v>432.61</v>
      </c>
      <c r="H27" s="22" t="s">
        <v>75</v>
      </c>
      <c r="I27" s="22">
        <v>-1.1607388106322167</v>
      </c>
      <c r="J27" s="22">
        <v>0.10196065717555172</v>
      </c>
      <c r="K27" s="22">
        <v>-11.384183299580972</v>
      </c>
      <c r="L27" s="22">
        <v>9.7376376020686059E-26</v>
      </c>
      <c r="M27" s="22">
        <v>-1.3612754617498686</v>
      </c>
      <c r="N27" s="22">
        <v>-0.96020215951456478</v>
      </c>
      <c r="O27" s="22">
        <v>-1.3612754617498686</v>
      </c>
      <c r="P27" s="22">
        <v>-0.96020215951456478</v>
      </c>
    </row>
    <row r="28" spans="1:16">
      <c r="A28" s="5">
        <v>2022</v>
      </c>
      <c r="B28" t="s">
        <v>6</v>
      </c>
      <c r="C28" t="s">
        <v>11</v>
      </c>
      <c r="D28">
        <v>3047</v>
      </c>
      <c r="E28">
        <v>27.43</v>
      </c>
      <c r="F28">
        <v>206.38</v>
      </c>
    </row>
    <row r="29" spans="1:16">
      <c r="A29" s="5">
        <v>2022</v>
      </c>
      <c r="B29" t="s">
        <v>6</v>
      </c>
      <c r="C29" t="s">
        <v>12</v>
      </c>
      <c r="D29">
        <v>3747</v>
      </c>
      <c r="E29">
        <v>39.200000000000003</v>
      </c>
      <c r="F29">
        <v>195.63</v>
      </c>
    </row>
    <row r="30" spans="1:16">
      <c r="A30" s="5">
        <v>2022</v>
      </c>
      <c r="B30" t="s">
        <v>6</v>
      </c>
      <c r="C30" t="s">
        <v>13</v>
      </c>
      <c r="D30">
        <v>1189</v>
      </c>
      <c r="E30">
        <v>11.91</v>
      </c>
      <c r="F30">
        <v>90.89</v>
      </c>
    </row>
    <row r="31" spans="1:16">
      <c r="A31" s="5">
        <v>2022</v>
      </c>
      <c r="B31" t="s">
        <v>6</v>
      </c>
      <c r="C31" t="s">
        <v>14</v>
      </c>
      <c r="D31">
        <v>3734</v>
      </c>
      <c r="E31">
        <v>32.64</v>
      </c>
      <c r="F31">
        <v>200.3</v>
      </c>
    </row>
    <row r="32" spans="1:16">
      <c r="A32" s="5">
        <v>2022</v>
      </c>
      <c r="B32" t="s">
        <v>6</v>
      </c>
      <c r="C32" t="s">
        <v>15</v>
      </c>
      <c r="D32">
        <v>4005</v>
      </c>
      <c r="E32">
        <v>16.350000000000001</v>
      </c>
      <c r="F32">
        <v>245.92</v>
      </c>
    </row>
    <row r="33" spans="1:6">
      <c r="A33" s="5">
        <v>2022</v>
      </c>
      <c r="B33" t="s">
        <v>6</v>
      </c>
      <c r="C33" t="s">
        <v>16</v>
      </c>
      <c r="D33">
        <v>5658</v>
      </c>
      <c r="E33">
        <v>14.81</v>
      </c>
      <c r="F33">
        <v>315.35000000000002</v>
      </c>
    </row>
    <row r="34" spans="1:6">
      <c r="A34" s="5">
        <v>2022</v>
      </c>
      <c r="B34" t="s">
        <v>6</v>
      </c>
      <c r="C34" t="s">
        <v>7</v>
      </c>
      <c r="D34">
        <v>2899</v>
      </c>
      <c r="E34">
        <v>23.68</v>
      </c>
      <c r="F34">
        <v>184.18</v>
      </c>
    </row>
    <row r="35" spans="1:6">
      <c r="A35" s="5">
        <v>2022</v>
      </c>
      <c r="B35" t="s">
        <v>17</v>
      </c>
      <c r="C35" t="s">
        <v>8</v>
      </c>
      <c r="D35">
        <v>8734</v>
      </c>
      <c r="E35">
        <v>13.67</v>
      </c>
      <c r="F35">
        <v>436.6</v>
      </c>
    </row>
    <row r="36" spans="1:6">
      <c r="A36" s="5">
        <v>2022</v>
      </c>
      <c r="B36" t="s">
        <v>17</v>
      </c>
      <c r="C36" t="s">
        <v>9</v>
      </c>
      <c r="D36">
        <v>2267</v>
      </c>
      <c r="E36">
        <v>13.77</v>
      </c>
      <c r="F36">
        <v>131.87</v>
      </c>
    </row>
    <row r="37" spans="1:6">
      <c r="A37" s="5">
        <v>2022</v>
      </c>
      <c r="B37" t="s">
        <v>17</v>
      </c>
      <c r="C37" t="s">
        <v>10</v>
      </c>
      <c r="D37">
        <v>2528</v>
      </c>
      <c r="E37">
        <v>22.46</v>
      </c>
      <c r="F37">
        <v>106.68</v>
      </c>
    </row>
    <row r="38" spans="1:6">
      <c r="A38" s="5">
        <v>2022</v>
      </c>
      <c r="B38" t="s">
        <v>17</v>
      </c>
      <c r="C38" t="s">
        <v>11</v>
      </c>
      <c r="D38">
        <v>4556</v>
      </c>
      <c r="E38">
        <v>49.18</v>
      </c>
      <c r="F38">
        <v>258.72000000000003</v>
      </c>
    </row>
    <row r="39" spans="1:6">
      <c r="A39" s="5">
        <v>2022</v>
      </c>
      <c r="B39" t="s">
        <v>17</v>
      </c>
      <c r="C39" t="s">
        <v>12</v>
      </c>
      <c r="D39">
        <v>4890</v>
      </c>
      <c r="E39">
        <v>17.010000000000002</v>
      </c>
      <c r="F39">
        <v>313.76</v>
      </c>
    </row>
    <row r="40" spans="1:6">
      <c r="A40" s="5">
        <v>2022</v>
      </c>
      <c r="B40" t="s">
        <v>17</v>
      </c>
      <c r="C40" t="s">
        <v>13</v>
      </c>
      <c r="D40">
        <v>9838</v>
      </c>
      <c r="E40">
        <v>10.69</v>
      </c>
      <c r="F40">
        <v>541.61</v>
      </c>
    </row>
    <row r="41" spans="1:6">
      <c r="A41" s="5">
        <v>2022</v>
      </c>
      <c r="B41" t="s">
        <v>17</v>
      </c>
      <c r="C41" t="s">
        <v>14</v>
      </c>
      <c r="D41">
        <v>6393</v>
      </c>
      <c r="E41">
        <v>40.53</v>
      </c>
      <c r="F41">
        <v>300.76</v>
      </c>
    </row>
    <row r="42" spans="1:6">
      <c r="A42" s="5">
        <v>2022</v>
      </c>
      <c r="B42" t="s">
        <v>17</v>
      </c>
      <c r="C42" t="s">
        <v>15</v>
      </c>
      <c r="D42">
        <v>9792</v>
      </c>
      <c r="E42">
        <v>42.28</v>
      </c>
      <c r="F42">
        <v>536.66999999999996</v>
      </c>
    </row>
    <row r="43" spans="1:6">
      <c r="A43" s="5">
        <v>2022</v>
      </c>
      <c r="B43" t="s">
        <v>17</v>
      </c>
      <c r="C43" t="s">
        <v>16</v>
      </c>
      <c r="D43">
        <v>9433</v>
      </c>
      <c r="E43">
        <v>23.85</v>
      </c>
      <c r="F43">
        <v>480.94</v>
      </c>
    </row>
    <row r="44" spans="1:6">
      <c r="A44" s="5">
        <v>2022</v>
      </c>
      <c r="B44" t="s">
        <v>17</v>
      </c>
      <c r="C44" t="s">
        <v>7</v>
      </c>
      <c r="D44">
        <v>8513</v>
      </c>
      <c r="E44">
        <v>28.59</v>
      </c>
      <c r="F44">
        <v>437.08</v>
      </c>
    </row>
    <row r="45" spans="1:6">
      <c r="A45" s="5">
        <v>2022</v>
      </c>
      <c r="B45" t="s">
        <v>17</v>
      </c>
      <c r="C45" t="s">
        <v>8</v>
      </c>
      <c r="D45">
        <v>3612</v>
      </c>
      <c r="E45">
        <v>35.99</v>
      </c>
      <c r="F45">
        <v>190.6</v>
      </c>
    </row>
    <row r="46" spans="1:6">
      <c r="A46" s="5">
        <v>2022</v>
      </c>
      <c r="B46" t="s">
        <v>17</v>
      </c>
      <c r="C46" t="s">
        <v>9</v>
      </c>
      <c r="D46">
        <v>8041</v>
      </c>
      <c r="E46">
        <v>11.92</v>
      </c>
      <c r="F46">
        <v>446.77</v>
      </c>
    </row>
    <row r="47" spans="1:6">
      <c r="A47" s="5">
        <v>2022</v>
      </c>
      <c r="B47" t="s">
        <v>17</v>
      </c>
      <c r="C47" t="s">
        <v>10</v>
      </c>
      <c r="D47">
        <v>7235</v>
      </c>
      <c r="E47">
        <v>47.97</v>
      </c>
      <c r="F47">
        <v>367.07</v>
      </c>
    </row>
    <row r="48" spans="1:6">
      <c r="A48" s="5">
        <v>2022</v>
      </c>
      <c r="B48" t="s">
        <v>17</v>
      </c>
      <c r="C48" t="s">
        <v>11</v>
      </c>
      <c r="D48">
        <v>6486</v>
      </c>
      <c r="E48">
        <v>45.47</v>
      </c>
      <c r="F48">
        <v>333.42</v>
      </c>
    </row>
    <row r="49" spans="1:6">
      <c r="A49" s="5">
        <v>2022</v>
      </c>
      <c r="B49" t="s">
        <v>17</v>
      </c>
      <c r="C49" t="s">
        <v>12</v>
      </c>
      <c r="D49">
        <v>8099</v>
      </c>
      <c r="E49">
        <v>20.440000000000001</v>
      </c>
      <c r="F49">
        <v>427.54</v>
      </c>
    </row>
    <row r="50" spans="1:6">
      <c r="A50" s="5">
        <v>2022</v>
      </c>
      <c r="B50" t="s">
        <v>17</v>
      </c>
      <c r="C50" t="s">
        <v>13</v>
      </c>
      <c r="D50">
        <v>1775</v>
      </c>
      <c r="E50">
        <v>10.61</v>
      </c>
      <c r="F50">
        <v>139.38</v>
      </c>
    </row>
    <row r="51" spans="1:6">
      <c r="A51" s="5">
        <v>2022</v>
      </c>
      <c r="B51" t="s">
        <v>17</v>
      </c>
      <c r="C51" t="s">
        <v>14</v>
      </c>
      <c r="D51">
        <v>9226</v>
      </c>
      <c r="E51">
        <v>47.34</v>
      </c>
      <c r="F51">
        <v>450.71</v>
      </c>
    </row>
    <row r="52" spans="1:6">
      <c r="A52" s="5">
        <v>2022</v>
      </c>
      <c r="B52" t="s">
        <v>17</v>
      </c>
      <c r="C52" t="s">
        <v>15</v>
      </c>
      <c r="D52">
        <v>4152</v>
      </c>
      <c r="E52">
        <v>30.04</v>
      </c>
      <c r="F52">
        <v>233.14</v>
      </c>
    </row>
    <row r="53" spans="1:6">
      <c r="A53" s="5">
        <v>2022</v>
      </c>
      <c r="B53" t="s">
        <v>17</v>
      </c>
      <c r="C53" t="s">
        <v>16</v>
      </c>
      <c r="D53">
        <v>2585</v>
      </c>
      <c r="E53">
        <v>31.58</v>
      </c>
      <c r="F53">
        <v>151.31</v>
      </c>
    </row>
    <row r="54" spans="1:6">
      <c r="A54" s="5">
        <v>2022</v>
      </c>
      <c r="B54" t="s">
        <v>17</v>
      </c>
      <c r="C54" t="s">
        <v>7</v>
      </c>
      <c r="D54">
        <v>4943</v>
      </c>
      <c r="E54">
        <v>37.36</v>
      </c>
      <c r="F54">
        <v>267.58</v>
      </c>
    </row>
    <row r="55" spans="1:6">
      <c r="A55" s="5">
        <v>2022</v>
      </c>
      <c r="B55" t="s">
        <v>17</v>
      </c>
      <c r="C55" t="s">
        <v>8</v>
      </c>
      <c r="D55">
        <v>8555</v>
      </c>
      <c r="E55">
        <v>34.630000000000003</v>
      </c>
      <c r="F55">
        <v>448.95</v>
      </c>
    </row>
    <row r="56" spans="1:6">
      <c r="A56" s="5">
        <v>2022</v>
      </c>
      <c r="B56" t="s">
        <v>17</v>
      </c>
      <c r="C56" t="s">
        <v>9</v>
      </c>
      <c r="D56">
        <v>4073</v>
      </c>
      <c r="E56">
        <v>47.76</v>
      </c>
      <c r="F56">
        <v>187.49</v>
      </c>
    </row>
    <row r="57" spans="1:6">
      <c r="A57" s="5">
        <v>2022</v>
      </c>
      <c r="B57" t="s">
        <v>17</v>
      </c>
      <c r="C57" t="s">
        <v>10</v>
      </c>
      <c r="D57">
        <v>2021</v>
      </c>
      <c r="E57">
        <v>47.77</v>
      </c>
      <c r="F57">
        <v>102.9</v>
      </c>
    </row>
    <row r="58" spans="1:6">
      <c r="A58" s="5">
        <v>2022</v>
      </c>
      <c r="B58" t="s">
        <v>17</v>
      </c>
      <c r="C58" t="s">
        <v>11</v>
      </c>
      <c r="D58">
        <v>4843</v>
      </c>
      <c r="E58">
        <v>44.69</v>
      </c>
      <c r="F58">
        <v>251.59</v>
      </c>
    </row>
    <row r="59" spans="1:6">
      <c r="A59" s="5">
        <v>2022</v>
      </c>
      <c r="B59" t="s">
        <v>17</v>
      </c>
      <c r="C59" t="s">
        <v>12</v>
      </c>
      <c r="D59">
        <v>8989</v>
      </c>
      <c r="E59">
        <v>35.46</v>
      </c>
      <c r="F59">
        <v>431.08</v>
      </c>
    </row>
    <row r="60" spans="1:6">
      <c r="A60" s="5">
        <v>2022</v>
      </c>
      <c r="B60" t="s">
        <v>17</v>
      </c>
      <c r="C60" t="s">
        <v>13</v>
      </c>
      <c r="D60">
        <v>7873</v>
      </c>
      <c r="E60">
        <v>42.04</v>
      </c>
      <c r="F60">
        <v>387.72</v>
      </c>
    </row>
    <row r="61" spans="1:6">
      <c r="A61" s="5">
        <v>2022</v>
      </c>
      <c r="B61" t="s">
        <v>17</v>
      </c>
      <c r="C61" t="s">
        <v>14</v>
      </c>
      <c r="D61">
        <v>6675</v>
      </c>
      <c r="E61">
        <v>37.090000000000003</v>
      </c>
      <c r="F61">
        <v>351.41</v>
      </c>
    </row>
    <row r="62" spans="1:6">
      <c r="A62" s="5">
        <v>2022</v>
      </c>
      <c r="B62" t="s">
        <v>17</v>
      </c>
      <c r="C62" t="s">
        <v>15</v>
      </c>
      <c r="D62">
        <v>1161</v>
      </c>
      <c r="E62">
        <v>32.93</v>
      </c>
      <c r="F62">
        <v>102.71</v>
      </c>
    </row>
    <row r="63" spans="1:6">
      <c r="A63" s="5">
        <v>2022</v>
      </c>
      <c r="B63" t="s">
        <v>18</v>
      </c>
      <c r="C63" t="s">
        <v>16</v>
      </c>
      <c r="D63">
        <v>5297</v>
      </c>
      <c r="E63">
        <v>15.14</v>
      </c>
      <c r="F63">
        <v>313.18</v>
      </c>
    </row>
    <row r="64" spans="1:6">
      <c r="A64" s="5">
        <v>2022</v>
      </c>
      <c r="B64" t="s">
        <v>18</v>
      </c>
      <c r="C64" t="s">
        <v>7</v>
      </c>
      <c r="D64">
        <v>1995</v>
      </c>
      <c r="E64">
        <v>42.45</v>
      </c>
      <c r="F64">
        <v>134.26</v>
      </c>
    </row>
    <row r="65" spans="1:6">
      <c r="A65" s="5">
        <v>2022</v>
      </c>
      <c r="B65" t="s">
        <v>18</v>
      </c>
      <c r="C65" t="s">
        <v>8</v>
      </c>
      <c r="D65">
        <v>8629</v>
      </c>
      <c r="E65">
        <v>42.83</v>
      </c>
      <c r="F65">
        <v>422.09</v>
      </c>
    </row>
    <row r="66" spans="1:6">
      <c r="A66" s="5">
        <v>2022</v>
      </c>
      <c r="B66" t="s">
        <v>18</v>
      </c>
      <c r="C66" t="s">
        <v>9</v>
      </c>
      <c r="D66">
        <v>2016</v>
      </c>
      <c r="E66">
        <v>35.04</v>
      </c>
      <c r="F66">
        <v>113.76</v>
      </c>
    </row>
    <row r="67" spans="1:6">
      <c r="A67" s="5">
        <v>2022</v>
      </c>
      <c r="B67" t="s">
        <v>18</v>
      </c>
      <c r="C67" t="s">
        <v>10</v>
      </c>
      <c r="D67">
        <v>8869</v>
      </c>
      <c r="E67">
        <v>42.82</v>
      </c>
      <c r="F67">
        <v>458.18</v>
      </c>
    </row>
    <row r="68" spans="1:6">
      <c r="A68" s="5">
        <v>2022</v>
      </c>
      <c r="B68" t="s">
        <v>18</v>
      </c>
      <c r="C68" t="s">
        <v>11</v>
      </c>
      <c r="D68">
        <v>7439</v>
      </c>
      <c r="E68">
        <v>36.06</v>
      </c>
      <c r="F68">
        <v>332.15</v>
      </c>
    </row>
    <row r="69" spans="1:6">
      <c r="A69" s="5">
        <v>2022</v>
      </c>
      <c r="B69" t="s">
        <v>18</v>
      </c>
      <c r="C69" t="s">
        <v>12</v>
      </c>
      <c r="D69">
        <v>8892</v>
      </c>
      <c r="E69">
        <v>18.27</v>
      </c>
      <c r="F69">
        <v>502.9</v>
      </c>
    </row>
    <row r="70" spans="1:6">
      <c r="A70" s="5">
        <v>2022</v>
      </c>
      <c r="B70" t="s">
        <v>18</v>
      </c>
      <c r="C70" t="s">
        <v>13</v>
      </c>
      <c r="D70">
        <v>7863</v>
      </c>
      <c r="E70">
        <v>20.96</v>
      </c>
      <c r="F70">
        <v>380.78</v>
      </c>
    </row>
    <row r="71" spans="1:6">
      <c r="A71" s="5">
        <v>2022</v>
      </c>
      <c r="B71" t="s">
        <v>18</v>
      </c>
      <c r="C71" t="s">
        <v>14</v>
      </c>
      <c r="D71">
        <v>8916</v>
      </c>
      <c r="E71">
        <v>18.579999999999998</v>
      </c>
      <c r="F71">
        <v>493.44</v>
      </c>
    </row>
    <row r="72" spans="1:6">
      <c r="A72" s="5">
        <v>2022</v>
      </c>
      <c r="B72" t="s">
        <v>18</v>
      </c>
      <c r="C72" t="s">
        <v>15</v>
      </c>
      <c r="D72">
        <v>9529</v>
      </c>
      <c r="E72">
        <v>25.09</v>
      </c>
      <c r="F72">
        <v>510.08</v>
      </c>
    </row>
    <row r="73" spans="1:6">
      <c r="A73" s="5">
        <v>2022</v>
      </c>
      <c r="B73" t="s">
        <v>18</v>
      </c>
      <c r="C73" t="s">
        <v>16</v>
      </c>
      <c r="D73">
        <v>1878</v>
      </c>
      <c r="E73">
        <v>11.56</v>
      </c>
      <c r="F73">
        <v>83.24</v>
      </c>
    </row>
    <row r="74" spans="1:6">
      <c r="A74" s="5">
        <v>2022</v>
      </c>
      <c r="B74" t="s">
        <v>18</v>
      </c>
      <c r="C74" t="s">
        <v>7</v>
      </c>
      <c r="D74">
        <v>5887</v>
      </c>
      <c r="E74">
        <v>34.729999999999997</v>
      </c>
      <c r="F74">
        <v>256.89</v>
      </c>
    </row>
    <row r="75" spans="1:6">
      <c r="A75" s="5">
        <v>2022</v>
      </c>
      <c r="B75" t="s">
        <v>18</v>
      </c>
      <c r="C75" t="s">
        <v>8</v>
      </c>
      <c r="D75">
        <v>5859</v>
      </c>
      <c r="E75">
        <v>23.46</v>
      </c>
      <c r="F75">
        <v>343.45</v>
      </c>
    </row>
    <row r="76" spans="1:6">
      <c r="A76" s="5">
        <v>2022</v>
      </c>
      <c r="B76" t="s">
        <v>18</v>
      </c>
      <c r="C76" t="s">
        <v>9</v>
      </c>
      <c r="D76">
        <v>7331</v>
      </c>
      <c r="E76">
        <v>36.229999999999997</v>
      </c>
      <c r="F76">
        <v>397.37</v>
      </c>
    </row>
    <row r="77" spans="1:6">
      <c r="A77" s="5">
        <v>2022</v>
      </c>
      <c r="B77" t="s">
        <v>18</v>
      </c>
      <c r="C77" t="s">
        <v>10</v>
      </c>
      <c r="D77">
        <v>9571</v>
      </c>
      <c r="E77">
        <v>25.42</v>
      </c>
      <c r="F77">
        <v>480.43</v>
      </c>
    </row>
    <row r="78" spans="1:6">
      <c r="A78" s="5">
        <v>2022</v>
      </c>
      <c r="B78" t="s">
        <v>18</v>
      </c>
      <c r="C78" t="s">
        <v>11</v>
      </c>
      <c r="D78">
        <v>9684</v>
      </c>
      <c r="E78">
        <v>37.26</v>
      </c>
      <c r="F78">
        <v>471.84</v>
      </c>
    </row>
    <row r="79" spans="1:6">
      <c r="A79" s="5">
        <v>2022</v>
      </c>
      <c r="B79" t="s">
        <v>18</v>
      </c>
      <c r="C79" t="s">
        <v>12</v>
      </c>
      <c r="D79">
        <v>8208</v>
      </c>
      <c r="E79">
        <v>23.62</v>
      </c>
      <c r="F79">
        <v>442.3</v>
      </c>
    </row>
    <row r="80" spans="1:6">
      <c r="A80" s="5">
        <v>2022</v>
      </c>
      <c r="B80" t="s">
        <v>18</v>
      </c>
      <c r="C80" t="s">
        <v>13</v>
      </c>
      <c r="D80">
        <v>6276</v>
      </c>
      <c r="E80">
        <v>20.43</v>
      </c>
      <c r="F80">
        <v>339.03</v>
      </c>
    </row>
    <row r="81" spans="1:6">
      <c r="A81" s="5">
        <v>2022</v>
      </c>
      <c r="B81" t="s">
        <v>18</v>
      </c>
      <c r="C81" t="s">
        <v>14</v>
      </c>
      <c r="D81">
        <v>3062</v>
      </c>
      <c r="E81">
        <v>29.84</v>
      </c>
      <c r="F81">
        <v>188.38</v>
      </c>
    </row>
    <row r="82" spans="1:6">
      <c r="A82" s="5">
        <v>2022</v>
      </c>
      <c r="B82" t="s">
        <v>18</v>
      </c>
      <c r="C82" t="s">
        <v>15</v>
      </c>
      <c r="D82">
        <v>1064</v>
      </c>
      <c r="E82">
        <v>37.72</v>
      </c>
      <c r="F82">
        <v>67.53</v>
      </c>
    </row>
    <row r="83" spans="1:6">
      <c r="A83" s="5">
        <v>2022</v>
      </c>
      <c r="B83" t="s">
        <v>18</v>
      </c>
      <c r="C83" t="s">
        <v>16</v>
      </c>
      <c r="D83">
        <v>9006</v>
      </c>
      <c r="E83">
        <v>23.93</v>
      </c>
      <c r="F83">
        <v>503.24</v>
      </c>
    </row>
    <row r="84" spans="1:6">
      <c r="A84" s="5">
        <v>2022</v>
      </c>
      <c r="B84" t="s">
        <v>18</v>
      </c>
      <c r="C84" t="s">
        <v>7</v>
      </c>
      <c r="D84">
        <v>3568</v>
      </c>
      <c r="E84">
        <v>47.47</v>
      </c>
      <c r="F84">
        <v>190.84</v>
      </c>
    </row>
    <row r="85" spans="1:6">
      <c r="A85" s="5">
        <v>2022</v>
      </c>
      <c r="B85" t="s">
        <v>18</v>
      </c>
      <c r="C85" t="s">
        <v>8</v>
      </c>
      <c r="D85">
        <v>6463</v>
      </c>
      <c r="E85">
        <v>11.57</v>
      </c>
      <c r="F85">
        <v>373.68</v>
      </c>
    </row>
    <row r="86" spans="1:6">
      <c r="A86" s="5">
        <v>2022</v>
      </c>
      <c r="B86" t="s">
        <v>18</v>
      </c>
      <c r="C86" t="s">
        <v>9</v>
      </c>
      <c r="D86">
        <v>3027</v>
      </c>
      <c r="E86">
        <v>26.72</v>
      </c>
      <c r="F86">
        <v>162.25</v>
      </c>
    </row>
    <row r="87" spans="1:6">
      <c r="A87" s="5">
        <v>2022</v>
      </c>
      <c r="B87" t="s">
        <v>18</v>
      </c>
      <c r="C87" t="s">
        <v>10</v>
      </c>
      <c r="D87">
        <v>3695</v>
      </c>
      <c r="E87">
        <v>48.7</v>
      </c>
      <c r="F87">
        <v>167.8</v>
      </c>
    </row>
    <row r="88" spans="1:6">
      <c r="A88" s="5">
        <v>2022</v>
      </c>
      <c r="B88" t="s">
        <v>18</v>
      </c>
      <c r="C88" t="s">
        <v>11</v>
      </c>
      <c r="D88">
        <v>6258</v>
      </c>
      <c r="E88">
        <v>31.92</v>
      </c>
      <c r="F88">
        <v>323.56</v>
      </c>
    </row>
    <row r="89" spans="1:6">
      <c r="A89" s="5">
        <v>2022</v>
      </c>
      <c r="B89" t="s">
        <v>18</v>
      </c>
      <c r="C89" t="s">
        <v>12</v>
      </c>
      <c r="D89">
        <v>6618</v>
      </c>
      <c r="E89">
        <v>26.94</v>
      </c>
      <c r="F89">
        <v>385.39</v>
      </c>
    </row>
    <row r="90" spans="1:6">
      <c r="A90" s="5">
        <v>2022</v>
      </c>
      <c r="B90" t="s">
        <v>18</v>
      </c>
      <c r="C90" t="s">
        <v>13</v>
      </c>
      <c r="D90">
        <v>7736</v>
      </c>
      <c r="E90">
        <v>32.74</v>
      </c>
      <c r="F90">
        <v>389.39</v>
      </c>
    </row>
    <row r="91" spans="1:6">
      <c r="A91" s="5">
        <v>2022</v>
      </c>
      <c r="B91" t="s">
        <v>18</v>
      </c>
      <c r="C91" t="s">
        <v>14</v>
      </c>
      <c r="D91">
        <v>1391</v>
      </c>
      <c r="E91">
        <v>33.04</v>
      </c>
      <c r="F91">
        <v>85.12</v>
      </c>
    </row>
    <row r="92" spans="1:6">
      <c r="A92" s="5">
        <v>2022</v>
      </c>
      <c r="B92" t="s">
        <v>18</v>
      </c>
      <c r="C92" t="s">
        <v>15</v>
      </c>
      <c r="D92">
        <v>6892</v>
      </c>
      <c r="E92">
        <v>39.270000000000003</v>
      </c>
      <c r="F92">
        <v>302.58</v>
      </c>
    </row>
    <row r="93" spans="1:6">
      <c r="A93" s="5">
        <v>2022</v>
      </c>
      <c r="B93" t="s">
        <v>18</v>
      </c>
      <c r="C93" t="s">
        <v>16</v>
      </c>
      <c r="D93">
        <v>4561</v>
      </c>
      <c r="E93">
        <v>15.11</v>
      </c>
      <c r="F93">
        <v>273.44</v>
      </c>
    </row>
    <row r="94" spans="1:6">
      <c r="A94" s="5">
        <v>2022</v>
      </c>
      <c r="B94" t="s">
        <v>19</v>
      </c>
      <c r="C94" t="s">
        <v>7</v>
      </c>
      <c r="D94">
        <v>7184</v>
      </c>
      <c r="E94">
        <v>20</v>
      </c>
      <c r="F94">
        <v>430.34</v>
      </c>
    </row>
    <row r="95" spans="1:6">
      <c r="A95" s="5">
        <v>2022</v>
      </c>
      <c r="B95" t="s">
        <v>19</v>
      </c>
      <c r="C95" t="s">
        <v>8</v>
      </c>
      <c r="D95">
        <v>4099</v>
      </c>
      <c r="E95">
        <v>33.22</v>
      </c>
      <c r="F95">
        <v>196.41</v>
      </c>
    </row>
    <row r="96" spans="1:6">
      <c r="A96" s="5">
        <v>2022</v>
      </c>
      <c r="B96" t="s">
        <v>19</v>
      </c>
      <c r="C96" t="s">
        <v>9</v>
      </c>
      <c r="D96">
        <v>7278</v>
      </c>
      <c r="E96">
        <v>44.68</v>
      </c>
      <c r="F96">
        <v>423.77</v>
      </c>
    </row>
    <row r="97" spans="1:6">
      <c r="A97" s="5">
        <v>2022</v>
      </c>
      <c r="B97" t="s">
        <v>19</v>
      </c>
      <c r="C97" t="s">
        <v>10</v>
      </c>
      <c r="D97">
        <v>9392</v>
      </c>
      <c r="E97">
        <v>32.47</v>
      </c>
      <c r="F97">
        <v>484.28</v>
      </c>
    </row>
    <row r="98" spans="1:6">
      <c r="A98" s="5">
        <v>2022</v>
      </c>
      <c r="B98" t="s">
        <v>19</v>
      </c>
      <c r="C98" t="s">
        <v>11</v>
      </c>
      <c r="D98">
        <v>4104</v>
      </c>
      <c r="E98">
        <v>19.54</v>
      </c>
      <c r="F98">
        <v>180.29</v>
      </c>
    </row>
    <row r="99" spans="1:6">
      <c r="A99" s="5">
        <v>2022</v>
      </c>
      <c r="B99" t="s">
        <v>19</v>
      </c>
      <c r="C99" t="s">
        <v>12</v>
      </c>
      <c r="D99">
        <v>8215</v>
      </c>
      <c r="E99">
        <v>37.19</v>
      </c>
      <c r="F99">
        <v>408.41</v>
      </c>
    </row>
    <row r="100" spans="1:6">
      <c r="A100" s="5">
        <v>2022</v>
      </c>
      <c r="B100" t="s">
        <v>19</v>
      </c>
      <c r="C100" t="s">
        <v>13</v>
      </c>
      <c r="D100">
        <v>3454</v>
      </c>
      <c r="E100">
        <v>39.6</v>
      </c>
      <c r="F100">
        <v>201.79</v>
      </c>
    </row>
    <row r="101" spans="1:6">
      <c r="A101" s="5">
        <v>2022</v>
      </c>
      <c r="B101" t="s">
        <v>19</v>
      </c>
      <c r="C101" t="s">
        <v>14</v>
      </c>
      <c r="D101">
        <v>9996</v>
      </c>
      <c r="E101">
        <v>19.53</v>
      </c>
      <c r="F101">
        <v>566.35</v>
      </c>
    </row>
    <row r="102" spans="1:6">
      <c r="A102" s="5">
        <v>2022</v>
      </c>
      <c r="B102" t="s">
        <v>19</v>
      </c>
      <c r="C102" t="s">
        <v>15</v>
      </c>
      <c r="D102">
        <v>3731</v>
      </c>
      <c r="E102">
        <v>25.11</v>
      </c>
      <c r="F102">
        <v>220.78</v>
      </c>
    </row>
    <row r="103" spans="1:6">
      <c r="A103" s="5">
        <v>2022</v>
      </c>
      <c r="B103" t="s">
        <v>19</v>
      </c>
      <c r="C103" t="s">
        <v>16</v>
      </c>
      <c r="D103">
        <v>9154</v>
      </c>
      <c r="E103">
        <v>31.37</v>
      </c>
      <c r="F103">
        <v>501.4</v>
      </c>
    </row>
    <row r="104" spans="1:6">
      <c r="A104" s="5">
        <v>2022</v>
      </c>
      <c r="B104" t="s">
        <v>19</v>
      </c>
      <c r="C104" t="s">
        <v>7</v>
      </c>
      <c r="D104">
        <v>6056</v>
      </c>
      <c r="E104">
        <v>29.86</v>
      </c>
      <c r="F104">
        <v>293.41000000000003</v>
      </c>
    </row>
    <row r="105" spans="1:6">
      <c r="A105" s="5">
        <v>2022</v>
      </c>
      <c r="B105" t="s">
        <v>19</v>
      </c>
      <c r="C105" t="s">
        <v>8</v>
      </c>
      <c r="D105">
        <v>9110</v>
      </c>
      <c r="E105">
        <v>25.58</v>
      </c>
      <c r="F105">
        <v>461.19</v>
      </c>
    </row>
    <row r="106" spans="1:6">
      <c r="A106" s="5">
        <v>2022</v>
      </c>
      <c r="B106" t="s">
        <v>19</v>
      </c>
      <c r="C106" t="s">
        <v>9</v>
      </c>
      <c r="D106">
        <v>4840</v>
      </c>
      <c r="E106">
        <v>21.91</v>
      </c>
      <c r="F106">
        <v>232.12</v>
      </c>
    </row>
    <row r="107" spans="1:6">
      <c r="A107" s="5">
        <v>2022</v>
      </c>
      <c r="B107" t="s">
        <v>19</v>
      </c>
      <c r="C107" t="s">
        <v>10</v>
      </c>
      <c r="D107">
        <v>2028</v>
      </c>
      <c r="E107">
        <v>14</v>
      </c>
      <c r="F107">
        <v>122.5</v>
      </c>
    </row>
    <row r="108" spans="1:6">
      <c r="A108" s="5">
        <v>2022</v>
      </c>
      <c r="B108" t="s">
        <v>19</v>
      </c>
      <c r="C108" t="s">
        <v>11</v>
      </c>
      <c r="D108">
        <v>8385</v>
      </c>
      <c r="E108">
        <v>12.14</v>
      </c>
      <c r="F108">
        <v>469.92</v>
      </c>
    </row>
    <row r="109" spans="1:6">
      <c r="A109" s="5">
        <v>2022</v>
      </c>
      <c r="B109" t="s">
        <v>19</v>
      </c>
      <c r="C109" t="s">
        <v>12</v>
      </c>
      <c r="D109">
        <v>1502</v>
      </c>
      <c r="E109">
        <v>48.34</v>
      </c>
      <c r="F109">
        <v>71.34</v>
      </c>
    </row>
    <row r="110" spans="1:6">
      <c r="A110" s="5">
        <v>2022</v>
      </c>
      <c r="B110" t="s">
        <v>19</v>
      </c>
      <c r="C110" t="s">
        <v>13</v>
      </c>
      <c r="D110">
        <v>7910</v>
      </c>
      <c r="E110">
        <v>43.89</v>
      </c>
      <c r="F110">
        <v>410.19</v>
      </c>
    </row>
    <row r="111" spans="1:6">
      <c r="A111" s="5">
        <v>2022</v>
      </c>
      <c r="B111" t="s">
        <v>19</v>
      </c>
      <c r="C111" t="s">
        <v>14</v>
      </c>
      <c r="D111">
        <v>7938</v>
      </c>
      <c r="E111">
        <v>24.2</v>
      </c>
      <c r="F111">
        <v>399.13</v>
      </c>
    </row>
    <row r="112" spans="1:6">
      <c r="A112" s="5">
        <v>2022</v>
      </c>
      <c r="B112" t="s">
        <v>19</v>
      </c>
      <c r="C112" t="s">
        <v>15</v>
      </c>
      <c r="D112">
        <v>5488</v>
      </c>
      <c r="E112">
        <v>48.27</v>
      </c>
      <c r="F112">
        <v>248.96</v>
      </c>
    </row>
    <row r="113" spans="1:6">
      <c r="A113" s="5">
        <v>2022</v>
      </c>
      <c r="B113" t="s">
        <v>19</v>
      </c>
      <c r="C113" t="s">
        <v>16</v>
      </c>
      <c r="D113">
        <v>1206</v>
      </c>
      <c r="E113">
        <v>37.07</v>
      </c>
      <c r="F113">
        <v>69.91</v>
      </c>
    </row>
    <row r="114" spans="1:6">
      <c r="A114" s="5">
        <v>2022</v>
      </c>
      <c r="B114" t="s">
        <v>19</v>
      </c>
      <c r="C114" t="s">
        <v>7</v>
      </c>
      <c r="D114">
        <v>6134</v>
      </c>
      <c r="E114">
        <v>29.3</v>
      </c>
      <c r="F114">
        <v>309.49</v>
      </c>
    </row>
    <row r="115" spans="1:6">
      <c r="A115" s="5">
        <v>2022</v>
      </c>
      <c r="B115" t="s">
        <v>19</v>
      </c>
      <c r="C115" t="s">
        <v>8</v>
      </c>
      <c r="D115">
        <v>6977</v>
      </c>
      <c r="E115">
        <v>29.72</v>
      </c>
      <c r="F115">
        <v>389.22</v>
      </c>
    </row>
    <row r="116" spans="1:6">
      <c r="A116" s="5">
        <v>2022</v>
      </c>
      <c r="B116" t="s">
        <v>19</v>
      </c>
      <c r="C116" t="s">
        <v>9</v>
      </c>
      <c r="D116">
        <v>8721</v>
      </c>
      <c r="E116">
        <v>13.33</v>
      </c>
      <c r="F116">
        <v>457.5</v>
      </c>
    </row>
    <row r="117" spans="1:6">
      <c r="A117" s="5">
        <v>2022</v>
      </c>
      <c r="B117" t="s">
        <v>19</v>
      </c>
      <c r="C117" t="s">
        <v>10</v>
      </c>
      <c r="D117">
        <v>8035</v>
      </c>
      <c r="E117">
        <v>13.67</v>
      </c>
      <c r="F117">
        <v>425.44</v>
      </c>
    </row>
    <row r="118" spans="1:6">
      <c r="A118" s="5">
        <v>2022</v>
      </c>
      <c r="B118" t="s">
        <v>19</v>
      </c>
      <c r="C118" t="s">
        <v>11</v>
      </c>
      <c r="D118">
        <v>2484</v>
      </c>
      <c r="E118">
        <v>34.1</v>
      </c>
      <c r="F118">
        <v>141.66</v>
      </c>
    </row>
    <row r="119" spans="1:6">
      <c r="A119" s="5">
        <v>2022</v>
      </c>
      <c r="B119" t="s">
        <v>19</v>
      </c>
      <c r="C119" t="s">
        <v>12</v>
      </c>
      <c r="D119">
        <v>8858</v>
      </c>
      <c r="E119">
        <v>32.15</v>
      </c>
      <c r="F119">
        <v>446.54</v>
      </c>
    </row>
    <row r="120" spans="1:6">
      <c r="A120" s="5">
        <v>2022</v>
      </c>
      <c r="B120" t="s">
        <v>19</v>
      </c>
      <c r="C120" t="s">
        <v>13</v>
      </c>
      <c r="D120">
        <v>1863</v>
      </c>
      <c r="E120">
        <v>18.510000000000002</v>
      </c>
      <c r="F120">
        <v>96.24</v>
      </c>
    </row>
    <row r="121" spans="1:6">
      <c r="A121" s="5">
        <v>2022</v>
      </c>
      <c r="B121" t="s">
        <v>19</v>
      </c>
      <c r="C121" t="s">
        <v>14</v>
      </c>
      <c r="D121">
        <v>3790</v>
      </c>
      <c r="E121">
        <v>47.85</v>
      </c>
      <c r="F121">
        <v>160.1</v>
      </c>
    </row>
    <row r="122" spans="1:6">
      <c r="A122" s="5">
        <v>2022</v>
      </c>
      <c r="B122" t="s">
        <v>19</v>
      </c>
      <c r="C122" t="s">
        <v>15</v>
      </c>
      <c r="D122">
        <v>8408</v>
      </c>
      <c r="E122">
        <v>41.25</v>
      </c>
      <c r="F122">
        <v>431.65</v>
      </c>
    </row>
    <row r="123" spans="1:6">
      <c r="A123" s="5">
        <v>2022</v>
      </c>
      <c r="B123" t="s">
        <v>19</v>
      </c>
      <c r="C123" t="s">
        <v>16</v>
      </c>
      <c r="D123">
        <v>9755</v>
      </c>
      <c r="E123">
        <v>14.54</v>
      </c>
      <c r="F123">
        <v>493.13</v>
      </c>
    </row>
    <row r="124" spans="1:6">
      <c r="A124" s="5">
        <v>2022</v>
      </c>
      <c r="B124" t="s">
        <v>20</v>
      </c>
      <c r="C124" t="s">
        <v>7</v>
      </c>
      <c r="D124">
        <v>6116</v>
      </c>
      <c r="E124">
        <v>47.24</v>
      </c>
      <c r="F124">
        <v>327.06</v>
      </c>
    </row>
    <row r="125" spans="1:6">
      <c r="A125" s="5">
        <v>2022</v>
      </c>
      <c r="B125" t="s">
        <v>20</v>
      </c>
      <c r="C125" t="s">
        <v>8</v>
      </c>
      <c r="D125">
        <v>7019</v>
      </c>
      <c r="E125">
        <v>48.97</v>
      </c>
      <c r="F125">
        <v>328.38</v>
      </c>
    </row>
    <row r="126" spans="1:6">
      <c r="A126" s="5">
        <v>2022</v>
      </c>
      <c r="B126" t="s">
        <v>20</v>
      </c>
      <c r="C126" t="s">
        <v>9</v>
      </c>
      <c r="D126">
        <v>2757</v>
      </c>
      <c r="E126">
        <v>49.84</v>
      </c>
      <c r="F126">
        <v>140.37</v>
      </c>
    </row>
    <row r="127" spans="1:6">
      <c r="A127" s="5">
        <v>2022</v>
      </c>
      <c r="B127" t="s">
        <v>20</v>
      </c>
      <c r="C127" t="s">
        <v>10</v>
      </c>
      <c r="D127">
        <v>8574</v>
      </c>
      <c r="E127">
        <v>12.23</v>
      </c>
      <c r="F127">
        <v>451.41</v>
      </c>
    </row>
    <row r="128" spans="1:6">
      <c r="A128" s="5">
        <v>2022</v>
      </c>
      <c r="B128" t="s">
        <v>20</v>
      </c>
      <c r="C128" t="s">
        <v>11</v>
      </c>
      <c r="D128">
        <v>7374</v>
      </c>
      <c r="E128">
        <v>39.479999999999997</v>
      </c>
      <c r="F128">
        <v>353.02</v>
      </c>
    </row>
    <row r="129" spans="1:6">
      <c r="A129" s="5">
        <v>2022</v>
      </c>
      <c r="B129" t="s">
        <v>20</v>
      </c>
      <c r="C129" t="s">
        <v>12</v>
      </c>
      <c r="D129">
        <v>7892</v>
      </c>
      <c r="E129">
        <v>31.84</v>
      </c>
      <c r="F129">
        <v>411.32</v>
      </c>
    </row>
    <row r="130" spans="1:6">
      <c r="A130" s="5">
        <v>2022</v>
      </c>
      <c r="B130" t="s">
        <v>20</v>
      </c>
      <c r="C130" t="s">
        <v>13</v>
      </c>
      <c r="D130">
        <v>2678</v>
      </c>
      <c r="E130">
        <v>38.229999999999997</v>
      </c>
      <c r="F130">
        <v>159.06</v>
      </c>
    </row>
    <row r="131" spans="1:6">
      <c r="A131" s="5">
        <v>2022</v>
      </c>
      <c r="B131" t="s">
        <v>20</v>
      </c>
      <c r="C131" t="s">
        <v>14</v>
      </c>
      <c r="D131">
        <v>4242</v>
      </c>
      <c r="E131">
        <v>48.75</v>
      </c>
      <c r="F131">
        <v>198.66</v>
      </c>
    </row>
    <row r="132" spans="1:6">
      <c r="A132" s="5">
        <v>2022</v>
      </c>
      <c r="B132" t="s">
        <v>20</v>
      </c>
      <c r="C132" t="s">
        <v>15</v>
      </c>
      <c r="D132">
        <v>5636</v>
      </c>
      <c r="E132">
        <v>37.520000000000003</v>
      </c>
      <c r="F132">
        <v>285.47000000000003</v>
      </c>
    </row>
    <row r="133" spans="1:6">
      <c r="A133" s="5">
        <v>2022</v>
      </c>
      <c r="B133" t="s">
        <v>20</v>
      </c>
      <c r="C133" t="s">
        <v>16</v>
      </c>
      <c r="D133">
        <v>2059</v>
      </c>
      <c r="E133">
        <v>43.48</v>
      </c>
      <c r="F133">
        <v>116.92</v>
      </c>
    </row>
    <row r="134" spans="1:6">
      <c r="A134" s="5">
        <v>2022</v>
      </c>
      <c r="B134" t="s">
        <v>20</v>
      </c>
      <c r="C134" t="s">
        <v>7</v>
      </c>
      <c r="D134">
        <v>7668</v>
      </c>
      <c r="E134">
        <v>44.67</v>
      </c>
      <c r="F134">
        <v>396.6</v>
      </c>
    </row>
    <row r="135" spans="1:6">
      <c r="A135" s="5">
        <v>2022</v>
      </c>
      <c r="B135" t="s">
        <v>20</v>
      </c>
      <c r="C135" t="s">
        <v>8</v>
      </c>
      <c r="D135">
        <v>4157</v>
      </c>
      <c r="E135">
        <v>43.54</v>
      </c>
      <c r="F135">
        <v>204.83</v>
      </c>
    </row>
    <row r="136" spans="1:6">
      <c r="A136" s="5">
        <v>2022</v>
      </c>
      <c r="B136" t="s">
        <v>20</v>
      </c>
      <c r="C136" t="s">
        <v>9</v>
      </c>
      <c r="D136">
        <v>6915</v>
      </c>
      <c r="E136">
        <v>27.04</v>
      </c>
      <c r="F136">
        <v>354.43</v>
      </c>
    </row>
    <row r="137" spans="1:6">
      <c r="A137" s="5">
        <v>2022</v>
      </c>
      <c r="B137" t="s">
        <v>20</v>
      </c>
      <c r="C137" t="s">
        <v>10</v>
      </c>
      <c r="D137">
        <v>3693</v>
      </c>
      <c r="E137">
        <v>18.899999999999999</v>
      </c>
      <c r="F137">
        <v>213.62</v>
      </c>
    </row>
    <row r="138" spans="1:6">
      <c r="A138" s="5">
        <v>2022</v>
      </c>
      <c r="B138" t="s">
        <v>20</v>
      </c>
      <c r="C138" t="s">
        <v>11</v>
      </c>
      <c r="D138">
        <v>4627</v>
      </c>
      <c r="E138">
        <v>25.87</v>
      </c>
      <c r="F138">
        <v>246.49</v>
      </c>
    </row>
    <row r="139" spans="1:6">
      <c r="A139" s="5">
        <v>2022</v>
      </c>
      <c r="B139" t="s">
        <v>20</v>
      </c>
      <c r="C139" t="s">
        <v>12</v>
      </c>
      <c r="D139">
        <v>6450</v>
      </c>
      <c r="E139">
        <v>45.68</v>
      </c>
      <c r="F139">
        <v>323.95</v>
      </c>
    </row>
    <row r="140" spans="1:6">
      <c r="A140" s="5">
        <v>2022</v>
      </c>
      <c r="B140" t="s">
        <v>20</v>
      </c>
      <c r="C140" t="s">
        <v>13</v>
      </c>
      <c r="D140">
        <v>2663</v>
      </c>
      <c r="E140">
        <v>15.86</v>
      </c>
      <c r="F140">
        <v>140.22999999999999</v>
      </c>
    </row>
    <row r="141" spans="1:6">
      <c r="A141" s="5">
        <v>2022</v>
      </c>
      <c r="B141" t="s">
        <v>20</v>
      </c>
      <c r="C141" t="s">
        <v>14</v>
      </c>
      <c r="D141">
        <v>6592</v>
      </c>
      <c r="E141">
        <v>30.53</v>
      </c>
      <c r="F141">
        <v>348.5</v>
      </c>
    </row>
    <row r="142" spans="1:6">
      <c r="A142" s="5">
        <v>2022</v>
      </c>
      <c r="B142" t="s">
        <v>20</v>
      </c>
      <c r="C142" t="s">
        <v>15</v>
      </c>
      <c r="D142">
        <v>8392</v>
      </c>
      <c r="E142">
        <v>19.329999999999998</v>
      </c>
      <c r="F142">
        <v>432.04</v>
      </c>
    </row>
    <row r="143" spans="1:6">
      <c r="A143" s="5">
        <v>2022</v>
      </c>
      <c r="B143" t="s">
        <v>20</v>
      </c>
      <c r="C143" t="s">
        <v>16</v>
      </c>
      <c r="D143">
        <v>2306</v>
      </c>
      <c r="E143">
        <v>33.25</v>
      </c>
      <c r="F143">
        <v>143.52000000000001</v>
      </c>
    </row>
    <row r="144" spans="1:6">
      <c r="A144" s="5">
        <v>2022</v>
      </c>
      <c r="B144" t="s">
        <v>20</v>
      </c>
      <c r="C144" t="s">
        <v>7</v>
      </c>
      <c r="D144">
        <v>7776</v>
      </c>
      <c r="E144">
        <v>44.53</v>
      </c>
      <c r="F144">
        <v>371.92</v>
      </c>
    </row>
    <row r="145" spans="1:6">
      <c r="A145" s="5">
        <v>2022</v>
      </c>
      <c r="B145" t="s">
        <v>20</v>
      </c>
      <c r="C145" t="s">
        <v>8</v>
      </c>
      <c r="D145">
        <v>6864</v>
      </c>
      <c r="E145">
        <v>45.21</v>
      </c>
      <c r="F145">
        <v>325.83999999999997</v>
      </c>
    </row>
    <row r="146" spans="1:6">
      <c r="A146" s="5">
        <v>2022</v>
      </c>
      <c r="B146" t="s">
        <v>20</v>
      </c>
      <c r="C146" t="s">
        <v>9</v>
      </c>
      <c r="D146">
        <v>8526</v>
      </c>
      <c r="E146">
        <v>19.47</v>
      </c>
      <c r="F146">
        <v>461.85</v>
      </c>
    </row>
    <row r="147" spans="1:6">
      <c r="A147" s="5">
        <v>2022</v>
      </c>
      <c r="B147" t="s">
        <v>20</v>
      </c>
      <c r="C147" t="s">
        <v>10</v>
      </c>
      <c r="D147">
        <v>9901</v>
      </c>
      <c r="E147">
        <v>46.31</v>
      </c>
      <c r="F147">
        <v>489.76</v>
      </c>
    </row>
    <row r="148" spans="1:6">
      <c r="A148" s="5">
        <v>2022</v>
      </c>
      <c r="B148" t="s">
        <v>20</v>
      </c>
      <c r="C148" t="s">
        <v>11</v>
      </c>
      <c r="D148">
        <v>6575</v>
      </c>
      <c r="E148">
        <v>33.68</v>
      </c>
      <c r="F148">
        <v>383.87</v>
      </c>
    </row>
    <row r="149" spans="1:6">
      <c r="A149" s="5">
        <v>2022</v>
      </c>
      <c r="B149" t="s">
        <v>20</v>
      </c>
      <c r="C149" t="s">
        <v>12</v>
      </c>
      <c r="D149">
        <v>6530</v>
      </c>
      <c r="E149">
        <v>24.01</v>
      </c>
      <c r="F149">
        <v>315.10000000000002</v>
      </c>
    </row>
    <row r="150" spans="1:6">
      <c r="A150" s="5">
        <v>2022</v>
      </c>
      <c r="B150" t="s">
        <v>20</v>
      </c>
      <c r="C150" t="s">
        <v>13</v>
      </c>
      <c r="D150">
        <v>5413</v>
      </c>
      <c r="E150">
        <v>38.33</v>
      </c>
      <c r="F150">
        <v>276.85000000000002</v>
      </c>
    </row>
    <row r="151" spans="1:6">
      <c r="A151" s="5">
        <v>2022</v>
      </c>
      <c r="B151" t="s">
        <v>20</v>
      </c>
      <c r="C151" t="s">
        <v>14</v>
      </c>
      <c r="D151">
        <v>4748</v>
      </c>
      <c r="E151">
        <v>29.27</v>
      </c>
      <c r="F151">
        <v>274.87</v>
      </c>
    </row>
    <row r="152" spans="1:6">
      <c r="A152" s="5">
        <v>2022</v>
      </c>
      <c r="B152" t="s">
        <v>20</v>
      </c>
      <c r="C152" t="s">
        <v>15</v>
      </c>
      <c r="D152">
        <v>1663</v>
      </c>
      <c r="E152">
        <v>25.12</v>
      </c>
      <c r="F152">
        <v>91.44</v>
      </c>
    </row>
    <row r="153" spans="1:6">
      <c r="A153" s="5">
        <v>2022</v>
      </c>
      <c r="B153" t="s">
        <v>20</v>
      </c>
      <c r="C153" t="s">
        <v>16</v>
      </c>
      <c r="D153">
        <v>2998</v>
      </c>
      <c r="E153">
        <v>38.200000000000003</v>
      </c>
      <c r="F153">
        <v>135.84</v>
      </c>
    </row>
    <row r="154" spans="1:6">
      <c r="A154" s="5">
        <v>2022</v>
      </c>
      <c r="B154" t="s">
        <v>20</v>
      </c>
      <c r="C154" t="s">
        <v>7</v>
      </c>
      <c r="D154">
        <v>8994</v>
      </c>
      <c r="E154">
        <v>19.95</v>
      </c>
      <c r="F154">
        <v>458.34</v>
      </c>
    </row>
    <row r="155" spans="1:6">
      <c r="A155" s="5">
        <v>2022</v>
      </c>
      <c r="B155" t="s">
        <v>21</v>
      </c>
      <c r="C155" t="s">
        <v>8</v>
      </c>
      <c r="D155">
        <v>2495</v>
      </c>
      <c r="E155">
        <v>23.21</v>
      </c>
      <c r="F155">
        <v>114.66</v>
      </c>
    </row>
    <row r="156" spans="1:6">
      <c r="A156" s="5">
        <v>2022</v>
      </c>
      <c r="B156" t="s">
        <v>21</v>
      </c>
      <c r="C156" t="s">
        <v>9</v>
      </c>
      <c r="D156">
        <v>4304</v>
      </c>
      <c r="E156">
        <v>27.38</v>
      </c>
      <c r="F156">
        <v>259.33999999999997</v>
      </c>
    </row>
    <row r="157" spans="1:6">
      <c r="A157" s="5">
        <v>2022</v>
      </c>
      <c r="B157" t="s">
        <v>21</v>
      </c>
      <c r="C157" t="s">
        <v>10</v>
      </c>
      <c r="D157">
        <v>4763</v>
      </c>
      <c r="E157">
        <v>20.149999999999999</v>
      </c>
      <c r="F157">
        <v>257.38</v>
      </c>
    </row>
    <row r="158" spans="1:6">
      <c r="A158" s="5">
        <v>2022</v>
      </c>
      <c r="B158" t="s">
        <v>21</v>
      </c>
      <c r="C158" t="s">
        <v>11</v>
      </c>
      <c r="D158">
        <v>6232</v>
      </c>
      <c r="E158">
        <v>26.21</v>
      </c>
      <c r="F158">
        <v>321.19</v>
      </c>
    </row>
    <row r="159" spans="1:6">
      <c r="A159" s="5">
        <v>2022</v>
      </c>
      <c r="B159" t="s">
        <v>21</v>
      </c>
      <c r="C159" t="s">
        <v>12</v>
      </c>
      <c r="D159">
        <v>2853</v>
      </c>
      <c r="E159">
        <v>32.86</v>
      </c>
      <c r="F159">
        <v>110.74</v>
      </c>
    </row>
    <row r="160" spans="1:6">
      <c r="A160" s="5">
        <v>2022</v>
      </c>
      <c r="B160" t="s">
        <v>21</v>
      </c>
      <c r="C160" t="s">
        <v>13</v>
      </c>
      <c r="D160">
        <v>7585</v>
      </c>
      <c r="E160">
        <v>39.64</v>
      </c>
      <c r="F160">
        <v>353.01</v>
      </c>
    </row>
    <row r="161" spans="1:6">
      <c r="A161" s="5">
        <v>2022</v>
      </c>
      <c r="B161" t="s">
        <v>21</v>
      </c>
      <c r="C161" t="s">
        <v>14</v>
      </c>
      <c r="D161">
        <v>2291</v>
      </c>
      <c r="E161">
        <v>40.69</v>
      </c>
      <c r="F161">
        <v>145.03</v>
      </c>
    </row>
    <row r="162" spans="1:6">
      <c r="A162" s="5">
        <v>2022</v>
      </c>
      <c r="B162" t="s">
        <v>21</v>
      </c>
      <c r="C162" t="s">
        <v>15</v>
      </c>
      <c r="D162">
        <v>4581</v>
      </c>
      <c r="E162">
        <v>42.91</v>
      </c>
      <c r="F162">
        <v>233.62</v>
      </c>
    </row>
    <row r="163" spans="1:6">
      <c r="A163" s="5">
        <v>2022</v>
      </c>
      <c r="B163" t="s">
        <v>21</v>
      </c>
      <c r="C163" t="s">
        <v>16</v>
      </c>
      <c r="D163">
        <v>8554</v>
      </c>
      <c r="E163">
        <v>39.770000000000003</v>
      </c>
      <c r="F163">
        <v>453.31</v>
      </c>
    </row>
    <row r="164" spans="1:6">
      <c r="A164" s="5">
        <v>2022</v>
      </c>
      <c r="B164" t="s">
        <v>21</v>
      </c>
      <c r="C164" t="s">
        <v>7</v>
      </c>
      <c r="D164">
        <v>8280</v>
      </c>
      <c r="E164">
        <v>37.24</v>
      </c>
      <c r="F164">
        <v>440.11</v>
      </c>
    </row>
    <row r="165" spans="1:6">
      <c r="A165" s="5">
        <v>2022</v>
      </c>
      <c r="B165" t="s">
        <v>21</v>
      </c>
      <c r="C165" t="s">
        <v>8</v>
      </c>
      <c r="D165">
        <v>2636</v>
      </c>
      <c r="E165">
        <v>19.5</v>
      </c>
      <c r="F165">
        <v>138.38999999999999</v>
      </c>
    </row>
    <row r="166" spans="1:6">
      <c r="A166" s="5">
        <v>2022</v>
      </c>
      <c r="B166" t="s">
        <v>21</v>
      </c>
      <c r="C166" t="s">
        <v>9</v>
      </c>
      <c r="D166">
        <v>4696</v>
      </c>
      <c r="E166">
        <v>26.01</v>
      </c>
      <c r="F166">
        <v>302.19</v>
      </c>
    </row>
    <row r="167" spans="1:6">
      <c r="A167" s="5">
        <v>2022</v>
      </c>
      <c r="B167" t="s">
        <v>21</v>
      </c>
      <c r="C167" t="s">
        <v>10</v>
      </c>
      <c r="D167">
        <v>1698</v>
      </c>
      <c r="E167">
        <v>29.11</v>
      </c>
      <c r="F167">
        <v>138.96</v>
      </c>
    </row>
    <row r="168" spans="1:6">
      <c r="A168" s="5">
        <v>2022</v>
      </c>
      <c r="B168" t="s">
        <v>21</v>
      </c>
      <c r="C168" t="s">
        <v>11</v>
      </c>
      <c r="D168">
        <v>5737</v>
      </c>
      <c r="E168">
        <v>13.32</v>
      </c>
      <c r="F168">
        <v>309.60000000000002</v>
      </c>
    </row>
    <row r="169" spans="1:6">
      <c r="A169" s="5">
        <v>2022</v>
      </c>
      <c r="B169" t="s">
        <v>21</v>
      </c>
      <c r="C169" t="s">
        <v>12</v>
      </c>
      <c r="D169">
        <v>1854</v>
      </c>
      <c r="E169">
        <v>31.13</v>
      </c>
      <c r="F169">
        <v>33.97</v>
      </c>
    </row>
    <row r="170" spans="1:6">
      <c r="A170" s="5">
        <v>2022</v>
      </c>
      <c r="B170" t="s">
        <v>21</v>
      </c>
      <c r="C170" t="s">
        <v>13</v>
      </c>
      <c r="D170">
        <v>9164</v>
      </c>
      <c r="E170">
        <v>27.45</v>
      </c>
      <c r="F170">
        <v>468.13</v>
      </c>
    </row>
    <row r="171" spans="1:6">
      <c r="A171" s="5">
        <v>2022</v>
      </c>
      <c r="B171" t="s">
        <v>21</v>
      </c>
      <c r="C171" t="s">
        <v>14</v>
      </c>
      <c r="D171">
        <v>6855</v>
      </c>
      <c r="E171">
        <v>42.08</v>
      </c>
      <c r="F171">
        <v>347.01</v>
      </c>
    </row>
    <row r="172" spans="1:6">
      <c r="A172" s="5">
        <v>2022</v>
      </c>
      <c r="B172" t="s">
        <v>21</v>
      </c>
      <c r="C172" t="s">
        <v>15</v>
      </c>
      <c r="D172">
        <v>8392</v>
      </c>
      <c r="E172">
        <v>49.12</v>
      </c>
      <c r="F172">
        <v>399.31</v>
      </c>
    </row>
    <row r="173" spans="1:6">
      <c r="A173" s="5">
        <v>2022</v>
      </c>
      <c r="B173" t="s">
        <v>21</v>
      </c>
      <c r="C173" t="s">
        <v>16</v>
      </c>
      <c r="D173">
        <v>7528</v>
      </c>
      <c r="E173">
        <v>32.24</v>
      </c>
      <c r="F173">
        <v>383.28</v>
      </c>
    </row>
    <row r="174" spans="1:6">
      <c r="A174" s="5">
        <v>2022</v>
      </c>
      <c r="B174" t="s">
        <v>21</v>
      </c>
      <c r="C174" t="s">
        <v>7</v>
      </c>
      <c r="D174">
        <v>6249</v>
      </c>
      <c r="E174">
        <v>22.91</v>
      </c>
      <c r="F174">
        <v>318.39</v>
      </c>
    </row>
    <row r="175" spans="1:6">
      <c r="A175" s="5">
        <v>2022</v>
      </c>
      <c r="B175" t="s">
        <v>21</v>
      </c>
      <c r="C175" t="s">
        <v>8</v>
      </c>
      <c r="D175">
        <v>6172</v>
      </c>
      <c r="E175">
        <v>11.74</v>
      </c>
      <c r="F175">
        <v>362.95</v>
      </c>
    </row>
    <row r="176" spans="1:6">
      <c r="A176" s="5">
        <v>2022</v>
      </c>
      <c r="B176" t="s">
        <v>21</v>
      </c>
      <c r="C176" t="s">
        <v>9</v>
      </c>
      <c r="D176">
        <v>2707</v>
      </c>
      <c r="E176">
        <v>46.99</v>
      </c>
      <c r="F176">
        <v>130.24</v>
      </c>
    </row>
    <row r="177" spans="1:6">
      <c r="A177" s="5">
        <v>2022</v>
      </c>
      <c r="B177" t="s">
        <v>21</v>
      </c>
      <c r="C177" t="s">
        <v>10</v>
      </c>
      <c r="D177">
        <v>6791</v>
      </c>
      <c r="E177">
        <v>46.76</v>
      </c>
      <c r="F177">
        <v>352.46</v>
      </c>
    </row>
    <row r="178" spans="1:6">
      <c r="A178" s="5">
        <v>2022</v>
      </c>
      <c r="B178" t="s">
        <v>21</v>
      </c>
      <c r="C178" t="s">
        <v>11</v>
      </c>
      <c r="D178">
        <v>6535</v>
      </c>
      <c r="E178">
        <v>20.12</v>
      </c>
      <c r="F178">
        <v>377.05</v>
      </c>
    </row>
    <row r="179" spans="1:6">
      <c r="A179" s="5">
        <v>2022</v>
      </c>
      <c r="B179" t="s">
        <v>21</v>
      </c>
      <c r="C179" t="s">
        <v>12</v>
      </c>
      <c r="D179">
        <v>5931</v>
      </c>
      <c r="E179">
        <v>37.82</v>
      </c>
      <c r="F179">
        <v>257.68</v>
      </c>
    </row>
    <row r="180" spans="1:6">
      <c r="A180" s="5">
        <v>2022</v>
      </c>
      <c r="B180" t="s">
        <v>21</v>
      </c>
      <c r="C180" t="s">
        <v>13</v>
      </c>
      <c r="D180">
        <v>4510</v>
      </c>
      <c r="E180">
        <v>13.02</v>
      </c>
      <c r="F180">
        <v>244.47</v>
      </c>
    </row>
    <row r="181" spans="1:6">
      <c r="A181" s="5">
        <v>2022</v>
      </c>
      <c r="B181" t="s">
        <v>21</v>
      </c>
      <c r="C181" t="s">
        <v>14</v>
      </c>
      <c r="D181">
        <v>1202</v>
      </c>
      <c r="E181">
        <v>16.649999999999999</v>
      </c>
      <c r="F181">
        <v>77.64</v>
      </c>
    </row>
    <row r="182" spans="1:6">
      <c r="A182" s="5">
        <v>2022</v>
      </c>
      <c r="B182" t="s">
        <v>21</v>
      </c>
      <c r="C182" t="s">
        <v>15</v>
      </c>
      <c r="D182">
        <v>5218</v>
      </c>
      <c r="E182">
        <v>18.670000000000002</v>
      </c>
      <c r="F182">
        <v>339.92</v>
      </c>
    </row>
    <row r="183" spans="1:6">
      <c r="A183" s="5">
        <v>2022</v>
      </c>
      <c r="B183" t="s">
        <v>21</v>
      </c>
      <c r="C183" t="s">
        <v>16</v>
      </c>
      <c r="D183">
        <v>9958</v>
      </c>
      <c r="E183">
        <v>21.78</v>
      </c>
      <c r="F183">
        <v>524.74</v>
      </c>
    </row>
    <row r="184" spans="1:6">
      <c r="A184" s="5">
        <v>2022</v>
      </c>
      <c r="B184" t="s">
        <v>21</v>
      </c>
      <c r="C184" t="s">
        <v>7</v>
      </c>
      <c r="D184">
        <v>5389</v>
      </c>
      <c r="E184">
        <v>49.83</v>
      </c>
      <c r="F184">
        <v>275.89999999999998</v>
      </c>
    </row>
    <row r="185" spans="1:6">
      <c r="A185" s="5">
        <v>2022</v>
      </c>
      <c r="B185" t="s">
        <v>22</v>
      </c>
      <c r="C185" t="s">
        <v>8</v>
      </c>
      <c r="D185">
        <v>3327</v>
      </c>
      <c r="E185">
        <v>37.880000000000003</v>
      </c>
      <c r="F185">
        <v>133.28</v>
      </c>
    </row>
    <row r="186" spans="1:6">
      <c r="A186" s="5">
        <v>2022</v>
      </c>
      <c r="B186" t="s">
        <v>22</v>
      </c>
      <c r="C186" t="s">
        <v>9</v>
      </c>
      <c r="D186">
        <v>9004</v>
      </c>
      <c r="E186">
        <v>25.37</v>
      </c>
      <c r="F186">
        <v>472.62</v>
      </c>
    </row>
    <row r="187" spans="1:6">
      <c r="A187" s="5">
        <v>2022</v>
      </c>
      <c r="B187" t="s">
        <v>22</v>
      </c>
      <c r="C187" t="s">
        <v>10</v>
      </c>
      <c r="D187">
        <v>3931</v>
      </c>
      <c r="E187">
        <v>39.479999999999997</v>
      </c>
      <c r="F187">
        <v>218.74</v>
      </c>
    </row>
    <row r="188" spans="1:6">
      <c r="A188" s="5">
        <v>2022</v>
      </c>
      <c r="B188" t="s">
        <v>22</v>
      </c>
      <c r="C188" t="s">
        <v>11</v>
      </c>
      <c r="D188">
        <v>8777</v>
      </c>
      <c r="E188">
        <v>46.61</v>
      </c>
      <c r="F188">
        <v>450.16</v>
      </c>
    </row>
    <row r="189" spans="1:6">
      <c r="A189" s="5">
        <v>2022</v>
      </c>
      <c r="B189" t="s">
        <v>22</v>
      </c>
      <c r="C189" t="s">
        <v>12</v>
      </c>
      <c r="D189">
        <v>1197</v>
      </c>
      <c r="E189">
        <v>48.35</v>
      </c>
      <c r="F189">
        <v>64.3</v>
      </c>
    </row>
    <row r="190" spans="1:6">
      <c r="A190" s="5">
        <v>2022</v>
      </c>
      <c r="B190" t="s">
        <v>22</v>
      </c>
      <c r="C190" t="s">
        <v>13</v>
      </c>
      <c r="D190">
        <v>8125</v>
      </c>
      <c r="E190">
        <v>12.31</v>
      </c>
      <c r="F190">
        <v>441.73</v>
      </c>
    </row>
    <row r="191" spans="1:6">
      <c r="A191" s="5">
        <v>2022</v>
      </c>
      <c r="B191" t="s">
        <v>22</v>
      </c>
      <c r="C191" t="s">
        <v>14</v>
      </c>
      <c r="D191">
        <v>2930</v>
      </c>
      <c r="E191">
        <v>25.78</v>
      </c>
      <c r="F191">
        <v>166.79</v>
      </c>
    </row>
    <row r="192" spans="1:6">
      <c r="A192" s="5">
        <v>2022</v>
      </c>
      <c r="B192" t="s">
        <v>22</v>
      </c>
      <c r="C192" t="s">
        <v>15</v>
      </c>
      <c r="D192">
        <v>7287</v>
      </c>
      <c r="E192">
        <v>14.27</v>
      </c>
      <c r="F192">
        <v>363.36</v>
      </c>
    </row>
    <row r="193" spans="1:6">
      <c r="A193" s="5">
        <v>2022</v>
      </c>
      <c r="B193" t="s">
        <v>22</v>
      </c>
      <c r="C193" t="s">
        <v>16</v>
      </c>
      <c r="D193">
        <v>9800</v>
      </c>
      <c r="E193">
        <v>23.43</v>
      </c>
      <c r="F193">
        <v>493.88</v>
      </c>
    </row>
    <row r="194" spans="1:6">
      <c r="A194" s="5">
        <v>2022</v>
      </c>
      <c r="B194" t="s">
        <v>22</v>
      </c>
      <c r="C194" t="s">
        <v>7</v>
      </c>
      <c r="D194">
        <v>5282</v>
      </c>
      <c r="E194">
        <v>16.79</v>
      </c>
      <c r="F194">
        <v>298.57</v>
      </c>
    </row>
    <row r="195" spans="1:6">
      <c r="A195" s="5">
        <v>2022</v>
      </c>
      <c r="B195" t="s">
        <v>22</v>
      </c>
      <c r="C195" t="s">
        <v>8</v>
      </c>
      <c r="D195">
        <v>3511</v>
      </c>
      <c r="E195">
        <v>35.869999999999997</v>
      </c>
      <c r="F195">
        <v>168.18</v>
      </c>
    </row>
    <row r="196" spans="1:6">
      <c r="A196" s="5">
        <v>2022</v>
      </c>
      <c r="B196" t="s">
        <v>22</v>
      </c>
      <c r="C196" t="s">
        <v>9</v>
      </c>
      <c r="D196">
        <v>1659</v>
      </c>
      <c r="E196">
        <v>25.53</v>
      </c>
      <c r="F196">
        <v>116.09</v>
      </c>
    </row>
    <row r="197" spans="1:6">
      <c r="A197" s="5">
        <v>2022</v>
      </c>
      <c r="B197" t="s">
        <v>22</v>
      </c>
      <c r="C197" t="s">
        <v>10</v>
      </c>
      <c r="D197">
        <v>3811</v>
      </c>
      <c r="E197">
        <v>19.18</v>
      </c>
      <c r="F197">
        <v>226.87</v>
      </c>
    </row>
    <row r="198" spans="1:6">
      <c r="A198" s="5">
        <v>2022</v>
      </c>
      <c r="B198" t="s">
        <v>22</v>
      </c>
      <c r="C198" t="s">
        <v>11</v>
      </c>
      <c r="D198">
        <v>8098</v>
      </c>
      <c r="E198">
        <v>20.64</v>
      </c>
      <c r="F198">
        <v>457.48</v>
      </c>
    </row>
    <row r="199" spans="1:6">
      <c r="A199" s="5">
        <v>2022</v>
      </c>
      <c r="B199" t="s">
        <v>22</v>
      </c>
      <c r="C199" t="s">
        <v>12</v>
      </c>
      <c r="D199">
        <v>7546</v>
      </c>
      <c r="E199">
        <v>24.41</v>
      </c>
      <c r="F199">
        <v>417.17</v>
      </c>
    </row>
    <row r="200" spans="1:6">
      <c r="A200" s="5">
        <v>2022</v>
      </c>
      <c r="B200" t="s">
        <v>22</v>
      </c>
      <c r="C200" t="s">
        <v>13</v>
      </c>
      <c r="D200">
        <v>2986</v>
      </c>
      <c r="E200">
        <v>20.399999999999999</v>
      </c>
      <c r="F200">
        <v>179.37</v>
      </c>
    </row>
    <row r="201" spans="1:6">
      <c r="A201" s="5">
        <v>2022</v>
      </c>
      <c r="B201" t="s">
        <v>22</v>
      </c>
      <c r="C201" t="s">
        <v>14</v>
      </c>
      <c r="D201">
        <v>9338</v>
      </c>
      <c r="E201">
        <v>28.13</v>
      </c>
      <c r="F201">
        <v>498.1</v>
      </c>
    </row>
    <row r="202" spans="1:6">
      <c r="A202" s="5">
        <v>2022</v>
      </c>
      <c r="B202" t="s">
        <v>22</v>
      </c>
      <c r="C202" t="s">
        <v>15</v>
      </c>
      <c r="D202">
        <v>3911</v>
      </c>
      <c r="E202">
        <v>11.29</v>
      </c>
      <c r="F202">
        <v>252.1</v>
      </c>
    </row>
    <row r="203" spans="1:6">
      <c r="A203" s="5">
        <v>2022</v>
      </c>
      <c r="B203" t="s">
        <v>22</v>
      </c>
      <c r="C203" t="s">
        <v>16</v>
      </c>
      <c r="D203">
        <v>2734</v>
      </c>
      <c r="E203">
        <v>21.19</v>
      </c>
      <c r="F203">
        <v>151.12</v>
      </c>
    </row>
    <row r="204" spans="1:6">
      <c r="A204" s="5">
        <v>2022</v>
      </c>
      <c r="B204" t="s">
        <v>22</v>
      </c>
      <c r="C204" t="s">
        <v>7</v>
      </c>
      <c r="D204">
        <v>2843</v>
      </c>
      <c r="E204">
        <v>26.45</v>
      </c>
      <c r="F204">
        <v>153.83000000000001</v>
      </c>
    </row>
    <row r="205" spans="1:6">
      <c r="A205" s="5">
        <v>2022</v>
      </c>
      <c r="B205" t="s">
        <v>22</v>
      </c>
      <c r="C205" t="s">
        <v>8</v>
      </c>
      <c r="D205">
        <v>9680</v>
      </c>
      <c r="E205">
        <v>34.11</v>
      </c>
      <c r="F205">
        <v>491.13</v>
      </c>
    </row>
    <row r="206" spans="1:6">
      <c r="A206" s="5">
        <v>2022</v>
      </c>
      <c r="B206" t="s">
        <v>22</v>
      </c>
      <c r="C206" t="s">
        <v>9</v>
      </c>
      <c r="D206">
        <v>3976</v>
      </c>
      <c r="E206">
        <v>20.84</v>
      </c>
      <c r="F206">
        <v>214.28</v>
      </c>
    </row>
    <row r="207" spans="1:6">
      <c r="A207" s="5">
        <v>2022</v>
      </c>
      <c r="B207" t="s">
        <v>22</v>
      </c>
      <c r="C207" t="s">
        <v>10</v>
      </c>
      <c r="D207">
        <v>2959</v>
      </c>
      <c r="E207">
        <v>15.33</v>
      </c>
      <c r="F207">
        <v>199.87</v>
      </c>
    </row>
    <row r="208" spans="1:6">
      <c r="A208" s="5">
        <v>2022</v>
      </c>
      <c r="B208" t="s">
        <v>22</v>
      </c>
      <c r="C208" t="s">
        <v>11</v>
      </c>
      <c r="D208">
        <v>6759</v>
      </c>
      <c r="E208">
        <v>13.05</v>
      </c>
      <c r="F208">
        <v>359.75</v>
      </c>
    </row>
    <row r="209" spans="1:6">
      <c r="A209" s="5">
        <v>2022</v>
      </c>
      <c r="B209" t="s">
        <v>22</v>
      </c>
      <c r="C209" t="s">
        <v>12</v>
      </c>
      <c r="D209">
        <v>7694</v>
      </c>
      <c r="E209">
        <v>47.62</v>
      </c>
      <c r="F209">
        <v>402.59</v>
      </c>
    </row>
    <row r="210" spans="1:6">
      <c r="A210" s="5">
        <v>2022</v>
      </c>
      <c r="B210" t="s">
        <v>22</v>
      </c>
      <c r="C210" t="s">
        <v>13</v>
      </c>
      <c r="D210">
        <v>3385</v>
      </c>
      <c r="E210">
        <v>26.67</v>
      </c>
      <c r="F210">
        <v>179.91</v>
      </c>
    </row>
    <row r="211" spans="1:6">
      <c r="A211" s="5">
        <v>2022</v>
      </c>
      <c r="B211" t="s">
        <v>22</v>
      </c>
      <c r="C211" t="s">
        <v>14</v>
      </c>
      <c r="D211">
        <v>5736</v>
      </c>
      <c r="E211">
        <v>33.25</v>
      </c>
      <c r="F211">
        <v>306.35000000000002</v>
      </c>
    </row>
    <row r="212" spans="1:6">
      <c r="A212" s="5">
        <v>2022</v>
      </c>
      <c r="B212" t="s">
        <v>22</v>
      </c>
      <c r="C212" t="s">
        <v>15</v>
      </c>
      <c r="D212">
        <v>2802</v>
      </c>
      <c r="E212">
        <v>46.77</v>
      </c>
      <c r="F212">
        <v>137.31</v>
      </c>
    </row>
    <row r="213" spans="1:6">
      <c r="A213" s="5">
        <v>2022</v>
      </c>
      <c r="B213" t="s">
        <v>22</v>
      </c>
      <c r="C213" t="s">
        <v>16</v>
      </c>
      <c r="D213">
        <v>9155</v>
      </c>
      <c r="E213">
        <v>13.31</v>
      </c>
      <c r="F213">
        <v>472.26</v>
      </c>
    </row>
    <row r="214" spans="1:6">
      <c r="A214" s="5">
        <v>2022</v>
      </c>
      <c r="B214" t="s">
        <v>22</v>
      </c>
      <c r="C214" t="s">
        <v>7</v>
      </c>
      <c r="D214">
        <v>9120</v>
      </c>
      <c r="E214">
        <v>45.07</v>
      </c>
      <c r="F214">
        <v>451.52</v>
      </c>
    </row>
    <row r="215" spans="1:6">
      <c r="A215" s="5">
        <v>2022</v>
      </c>
      <c r="B215" t="s">
        <v>22</v>
      </c>
      <c r="C215" t="s">
        <v>8</v>
      </c>
      <c r="D215">
        <v>7616</v>
      </c>
      <c r="E215">
        <v>32.06</v>
      </c>
      <c r="F215">
        <v>399</v>
      </c>
    </row>
    <row r="216" spans="1:6">
      <c r="A216" s="5">
        <v>2022</v>
      </c>
      <c r="B216" t="s">
        <v>23</v>
      </c>
      <c r="C216" t="s">
        <v>9</v>
      </c>
      <c r="D216">
        <v>6534</v>
      </c>
      <c r="E216">
        <v>16.59</v>
      </c>
      <c r="F216">
        <v>355.5</v>
      </c>
    </row>
    <row r="217" spans="1:6">
      <c r="A217" s="5">
        <v>2022</v>
      </c>
      <c r="B217" t="s">
        <v>23</v>
      </c>
      <c r="C217" t="s">
        <v>10</v>
      </c>
      <c r="D217">
        <v>5061</v>
      </c>
      <c r="E217">
        <v>26.45</v>
      </c>
      <c r="F217">
        <v>244.46</v>
      </c>
    </row>
    <row r="218" spans="1:6">
      <c r="A218" s="5">
        <v>2022</v>
      </c>
      <c r="B218" t="s">
        <v>23</v>
      </c>
      <c r="C218" t="s">
        <v>11</v>
      </c>
      <c r="D218">
        <v>1262</v>
      </c>
      <c r="E218">
        <v>41.1</v>
      </c>
      <c r="F218">
        <v>97.8</v>
      </c>
    </row>
    <row r="219" spans="1:6">
      <c r="A219" s="5">
        <v>2022</v>
      </c>
      <c r="B219" t="s">
        <v>23</v>
      </c>
      <c r="C219" t="s">
        <v>12</v>
      </c>
      <c r="D219">
        <v>7287</v>
      </c>
      <c r="E219">
        <v>29.21</v>
      </c>
      <c r="F219">
        <v>381.05</v>
      </c>
    </row>
    <row r="220" spans="1:6">
      <c r="A220" s="5">
        <v>2022</v>
      </c>
      <c r="B220" t="s">
        <v>23</v>
      </c>
      <c r="C220" t="s">
        <v>13</v>
      </c>
      <c r="D220">
        <v>9815</v>
      </c>
      <c r="E220">
        <v>49.41</v>
      </c>
      <c r="F220">
        <v>465.57</v>
      </c>
    </row>
    <row r="221" spans="1:6">
      <c r="A221" s="5">
        <v>2022</v>
      </c>
      <c r="B221" t="s">
        <v>23</v>
      </c>
      <c r="C221" t="s">
        <v>14</v>
      </c>
      <c r="D221">
        <v>3049</v>
      </c>
      <c r="E221">
        <v>25.07</v>
      </c>
      <c r="F221">
        <v>204.78</v>
      </c>
    </row>
    <row r="222" spans="1:6">
      <c r="A222" s="5">
        <v>2022</v>
      </c>
      <c r="B222" t="s">
        <v>23</v>
      </c>
      <c r="C222" t="s">
        <v>15</v>
      </c>
      <c r="D222">
        <v>6423</v>
      </c>
      <c r="E222">
        <v>39.979999999999997</v>
      </c>
      <c r="F222">
        <v>335.52</v>
      </c>
    </row>
    <row r="223" spans="1:6">
      <c r="A223" s="5">
        <v>2022</v>
      </c>
      <c r="B223" t="s">
        <v>23</v>
      </c>
      <c r="C223" t="s">
        <v>16</v>
      </c>
      <c r="D223">
        <v>5548</v>
      </c>
      <c r="E223">
        <v>25.72</v>
      </c>
      <c r="F223">
        <v>272.52999999999997</v>
      </c>
    </row>
    <row r="224" spans="1:6">
      <c r="A224" s="5">
        <v>2022</v>
      </c>
      <c r="B224" t="s">
        <v>23</v>
      </c>
      <c r="C224" t="s">
        <v>7</v>
      </c>
      <c r="D224">
        <v>4108</v>
      </c>
      <c r="E224">
        <v>43.17</v>
      </c>
      <c r="F224">
        <v>182.71</v>
      </c>
    </row>
    <row r="225" spans="1:6">
      <c r="A225" s="5">
        <v>2022</v>
      </c>
      <c r="B225" t="s">
        <v>23</v>
      </c>
      <c r="C225" t="s">
        <v>8</v>
      </c>
      <c r="D225">
        <v>8158</v>
      </c>
      <c r="E225">
        <v>32.76</v>
      </c>
      <c r="F225">
        <v>414.14</v>
      </c>
    </row>
    <row r="226" spans="1:6">
      <c r="A226" s="5">
        <v>2022</v>
      </c>
      <c r="B226" t="s">
        <v>23</v>
      </c>
      <c r="C226" t="s">
        <v>9</v>
      </c>
      <c r="D226">
        <v>8400</v>
      </c>
      <c r="E226">
        <v>12.54</v>
      </c>
      <c r="F226">
        <v>460.9</v>
      </c>
    </row>
    <row r="227" spans="1:6">
      <c r="A227" s="5">
        <v>2022</v>
      </c>
      <c r="B227" t="s">
        <v>23</v>
      </c>
      <c r="C227" t="s">
        <v>10</v>
      </c>
      <c r="D227">
        <v>4170</v>
      </c>
      <c r="E227">
        <v>11.47</v>
      </c>
      <c r="F227">
        <v>257.19</v>
      </c>
    </row>
    <row r="228" spans="1:6">
      <c r="A228" s="5">
        <v>2022</v>
      </c>
      <c r="B228" t="s">
        <v>23</v>
      </c>
      <c r="C228" t="s">
        <v>11</v>
      </c>
      <c r="D228">
        <v>3255</v>
      </c>
      <c r="E228">
        <v>15.35</v>
      </c>
      <c r="F228">
        <v>213.33</v>
      </c>
    </row>
    <row r="229" spans="1:6">
      <c r="A229" s="5">
        <v>2022</v>
      </c>
      <c r="B229" t="s">
        <v>23</v>
      </c>
      <c r="C229" t="s">
        <v>12</v>
      </c>
      <c r="D229">
        <v>2154</v>
      </c>
      <c r="E229">
        <v>10.55</v>
      </c>
      <c r="F229">
        <v>155.84</v>
      </c>
    </row>
    <row r="230" spans="1:6">
      <c r="A230" s="5">
        <v>2022</v>
      </c>
      <c r="B230" t="s">
        <v>23</v>
      </c>
      <c r="C230" t="s">
        <v>13</v>
      </c>
      <c r="D230">
        <v>5499</v>
      </c>
      <c r="E230">
        <v>13.01</v>
      </c>
      <c r="F230">
        <v>336.27</v>
      </c>
    </row>
    <row r="231" spans="1:6">
      <c r="A231" s="5">
        <v>2022</v>
      </c>
      <c r="B231" t="s">
        <v>23</v>
      </c>
      <c r="C231" t="s">
        <v>14</v>
      </c>
      <c r="D231">
        <v>7295</v>
      </c>
      <c r="E231">
        <v>37.67</v>
      </c>
      <c r="F231">
        <v>372.08</v>
      </c>
    </row>
    <row r="232" spans="1:6">
      <c r="A232" s="5">
        <v>2022</v>
      </c>
      <c r="B232" t="s">
        <v>23</v>
      </c>
      <c r="C232" t="s">
        <v>15</v>
      </c>
      <c r="D232">
        <v>7197</v>
      </c>
      <c r="E232">
        <v>31.37</v>
      </c>
      <c r="F232">
        <v>357.01</v>
      </c>
    </row>
    <row r="233" spans="1:6">
      <c r="A233" s="5">
        <v>2022</v>
      </c>
      <c r="B233" t="s">
        <v>23</v>
      </c>
      <c r="C233" t="s">
        <v>16</v>
      </c>
      <c r="D233">
        <v>2648</v>
      </c>
      <c r="E233">
        <v>40</v>
      </c>
      <c r="F233">
        <v>134.34</v>
      </c>
    </row>
    <row r="234" spans="1:6">
      <c r="A234" s="5">
        <v>2022</v>
      </c>
      <c r="B234" t="s">
        <v>23</v>
      </c>
      <c r="C234" t="s">
        <v>7</v>
      </c>
      <c r="D234">
        <v>6539</v>
      </c>
      <c r="E234">
        <v>46.53</v>
      </c>
      <c r="F234">
        <v>319.74</v>
      </c>
    </row>
    <row r="235" spans="1:6">
      <c r="A235" s="5">
        <v>2022</v>
      </c>
      <c r="B235" t="s">
        <v>23</v>
      </c>
      <c r="C235" t="s">
        <v>8</v>
      </c>
      <c r="D235">
        <v>5199</v>
      </c>
      <c r="E235">
        <v>33.409999999999997</v>
      </c>
      <c r="F235">
        <v>218.3</v>
      </c>
    </row>
    <row r="236" spans="1:6">
      <c r="A236" s="5">
        <v>2022</v>
      </c>
      <c r="B236" t="s">
        <v>23</v>
      </c>
      <c r="C236" t="s">
        <v>9</v>
      </c>
      <c r="D236">
        <v>9445</v>
      </c>
      <c r="E236">
        <v>39.04</v>
      </c>
      <c r="F236">
        <v>464.17</v>
      </c>
    </row>
    <row r="237" spans="1:6">
      <c r="A237" s="5">
        <v>2022</v>
      </c>
      <c r="B237" t="s">
        <v>23</v>
      </c>
      <c r="C237" t="s">
        <v>10</v>
      </c>
      <c r="D237">
        <v>3557</v>
      </c>
      <c r="E237">
        <v>40.28</v>
      </c>
      <c r="F237">
        <v>185.79</v>
      </c>
    </row>
    <row r="238" spans="1:6">
      <c r="A238" s="5">
        <v>2022</v>
      </c>
      <c r="B238" t="s">
        <v>23</v>
      </c>
      <c r="C238" t="s">
        <v>11</v>
      </c>
      <c r="D238">
        <v>6592</v>
      </c>
      <c r="E238">
        <v>25.11</v>
      </c>
      <c r="F238">
        <v>340.98</v>
      </c>
    </row>
    <row r="239" spans="1:6">
      <c r="A239" s="5">
        <v>2022</v>
      </c>
      <c r="B239" t="s">
        <v>23</v>
      </c>
      <c r="C239" t="s">
        <v>12</v>
      </c>
      <c r="D239">
        <v>1098</v>
      </c>
      <c r="E239">
        <v>19.64</v>
      </c>
      <c r="F239">
        <v>68.400000000000006</v>
      </c>
    </row>
    <row r="240" spans="1:6">
      <c r="A240" s="5">
        <v>2022</v>
      </c>
      <c r="B240" t="s">
        <v>23</v>
      </c>
      <c r="C240" t="s">
        <v>13</v>
      </c>
      <c r="D240">
        <v>3200</v>
      </c>
      <c r="E240">
        <v>18.2</v>
      </c>
      <c r="F240">
        <v>206.39</v>
      </c>
    </row>
    <row r="241" spans="1:6">
      <c r="A241" s="5">
        <v>2022</v>
      </c>
      <c r="B241" t="s">
        <v>23</v>
      </c>
      <c r="C241" t="s">
        <v>14</v>
      </c>
      <c r="D241">
        <v>3961</v>
      </c>
      <c r="E241">
        <v>20.059999999999999</v>
      </c>
      <c r="F241">
        <v>205.65</v>
      </c>
    </row>
    <row r="242" spans="1:6">
      <c r="A242" s="5">
        <v>2022</v>
      </c>
      <c r="B242" t="s">
        <v>23</v>
      </c>
      <c r="C242" t="s">
        <v>15</v>
      </c>
      <c r="D242">
        <v>5973</v>
      </c>
      <c r="E242">
        <v>20.99</v>
      </c>
      <c r="F242">
        <v>337.7</v>
      </c>
    </row>
    <row r="243" spans="1:6">
      <c r="A243" s="5">
        <v>2022</v>
      </c>
      <c r="B243" t="s">
        <v>23</v>
      </c>
      <c r="C243" t="s">
        <v>16</v>
      </c>
      <c r="D243">
        <v>5433</v>
      </c>
      <c r="E243">
        <v>18.29</v>
      </c>
      <c r="F243">
        <v>273.05</v>
      </c>
    </row>
    <row r="244" spans="1:6">
      <c r="A244" s="5">
        <v>2022</v>
      </c>
      <c r="B244" t="s">
        <v>23</v>
      </c>
      <c r="C244" t="s">
        <v>7</v>
      </c>
      <c r="D244">
        <v>3869</v>
      </c>
      <c r="E244">
        <v>45.13</v>
      </c>
      <c r="F244">
        <v>244.51</v>
      </c>
    </row>
    <row r="245" spans="1:6">
      <c r="A245" s="5">
        <v>2022</v>
      </c>
      <c r="B245" t="s">
        <v>23</v>
      </c>
      <c r="C245" t="s">
        <v>8</v>
      </c>
      <c r="D245">
        <v>1956</v>
      </c>
      <c r="E245">
        <v>40.28</v>
      </c>
      <c r="F245">
        <v>95.15</v>
      </c>
    </row>
    <row r="246" spans="1:6">
      <c r="A246" s="5">
        <v>2022</v>
      </c>
      <c r="B246" t="s">
        <v>23</v>
      </c>
      <c r="C246" t="s">
        <v>9</v>
      </c>
      <c r="D246">
        <v>9352</v>
      </c>
      <c r="E246">
        <v>11.88</v>
      </c>
      <c r="F246">
        <v>496.88</v>
      </c>
    </row>
    <row r="247" spans="1:6">
      <c r="A247" s="5">
        <v>2022</v>
      </c>
      <c r="B247" t="s">
        <v>24</v>
      </c>
      <c r="C247" t="s">
        <v>10</v>
      </c>
      <c r="D247">
        <v>6699</v>
      </c>
      <c r="E247">
        <v>20.75</v>
      </c>
      <c r="F247">
        <v>382.92</v>
      </c>
    </row>
    <row r="248" spans="1:6">
      <c r="A248" s="5">
        <v>2022</v>
      </c>
      <c r="B248" t="s">
        <v>24</v>
      </c>
      <c r="C248" t="s">
        <v>11</v>
      </c>
      <c r="D248">
        <v>7944</v>
      </c>
      <c r="E248">
        <v>10.89</v>
      </c>
      <c r="F248">
        <v>425.76</v>
      </c>
    </row>
    <row r="249" spans="1:6">
      <c r="A249" s="5">
        <v>2022</v>
      </c>
      <c r="B249" t="s">
        <v>24</v>
      </c>
      <c r="C249" t="s">
        <v>12</v>
      </c>
      <c r="D249">
        <v>5493</v>
      </c>
      <c r="E249">
        <v>29.93</v>
      </c>
      <c r="F249">
        <v>317.83999999999997</v>
      </c>
    </row>
    <row r="250" spans="1:6">
      <c r="A250" s="5">
        <v>2022</v>
      </c>
      <c r="B250" t="s">
        <v>24</v>
      </c>
      <c r="C250" t="s">
        <v>13</v>
      </c>
      <c r="D250">
        <v>5911</v>
      </c>
      <c r="E250">
        <v>29.05</v>
      </c>
      <c r="F250">
        <v>318.12</v>
      </c>
    </row>
    <row r="251" spans="1:6">
      <c r="A251" s="5">
        <v>2022</v>
      </c>
      <c r="B251" t="s">
        <v>24</v>
      </c>
      <c r="C251" t="s">
        <v>14</v>
      </c>
      <c r="D251">
        <v>4987</v>
      </c>
      <c r="E251">
        <v>43.25</v>
      </c>
      <c r="F251">
        <v>245.08</v>
      </c>
    </row>
    <row r="252" spans="1:6">
      <c r="A252" s="5">
        <v>2022</v>
      </c>
      <c r="B252" t="s">
        <v>24</v>
      </c>
      <c r="C252" t="s">
        <v>15</v>
      </c>
      <c r="D252">
        <v>7015</v>
      </c>
      <c r="E252">
        <v>22.31</v>
      </c>
      <c r="F252">
        <v>369.48</v>
      </c>
    </row>
    <row r="253" spans="1:6">
      <c r="A253" s="5">
        <v>2022</v>
      </c>
      <c r="B253" t="s">
        <v>24</v>
      </c>
      <c r="C253" t="s">
        <v>16</v>
      </c>
      <c r="D253">
        <v>2218</v>
      </c>
      <c r="E253">
        <v>42.66</v>
      </c>
      <c r="F253">
        <v>133.87</v>
      </c>
    </row>
    <row r="254" spans="1:6">
      <c r="A254" s="5">
        <v>2022</v>
      </c>
      <c r="B254" t="s">
        <v>24</v>
      </c>
      <c r="C254" t="s">
        <v>7</v>
      </c>
      <c r="D254">
        <v>5496</v>
      </c>
      <c r="E254">
        <v>48.72</v>
      </c>
      <c r="F254">
        <v>270.95</v>
      </c>
    </row>
    <row r="255" spans="1:6">
      <c r="A255" s="5">
        <v>2022</v>
      </c>
      <c r="B255" t="s">
        <v>24</v>
      </c>
      <c r="C255" t="s">
        <v>8</v>
      </c>
      <c r="D255">
        <v>5735</v>
      </c>
      <c r="E255">
        <v>13.54</v>
      </c>
      <c r="F255">
        <v>329.15</v>
      </c>
    </row>
    <row r="256" spans="1:6">
      <c r="A256" s="5">
        <v>2022</v>
      </c>
      <c r="B256" t="s">
        <v>24</v>
      </c>
      <c r="C256" t="s">
        <v>9</v>
      </c>
      <c r="D256">
        <v>5555</v>
      </c>
      <c r="E256">
        <v>41.67</v>
      </c>
      <c r="F256">
        <v>288.56</v>
      </c>
    </row>
    <row r="257" spans="1:6">
      <c r="A257" s="5">
        <v>2022</v>
      </c>
      <c r="B257" t="s">
        <v>24</v>
      </c>
      <c r="C257" t="s">
        <v>10</v>
      </c>
      <c r="D257">
        <v>9050</v>
      </c>
      <c r="E257">
        <v>33.6</v>
      </c>
      <c r="F257">
        <v>464.84</v>
      </c>
    </row>
    <row r="258" spans="1:6">
      <c r="A258" s="5">
        <v>2022</v>
      </c>
      <c r="B258" t="s">
        <v>24</v>
      </c>
      <c r="C258" t="s">
        <v>11</v>
      </c>
      <c r="D258">
        <v>4446</v>
      </c>
      <c r="E258">
        <v>29.2</v>
      </c>
      <c r="F258">
        <v>247.66</v>
      </c>
    </row>
    <row r="259" spans="1:6">
      <c r="A259" s="5">
        <v>2022</v>
      </c>
      <c r="B259" t="s">
        <v>24</v>
      </c>
      <c r="C259" t="s">
        <v>12</v>
      </c>
      <c r="D259">
        <v>2045</v>
      </c>
      <c r="E259">
        <v>26.82</v>
      </c>
      <c r="F259">
        <v>117.7</v>
      </c>
    </row>
    <row r="260" spans="1:6">
      <c r="A260" s="5">
        <v>2022</v>
      </c>
      <c r="B260" t="s">
        <v>24</v>
      </c>
      <c r="C260" t="s">
        <v>13</v>
      </c>
      <c r="D260">
        <v>7893</v>
      </c>
      <c r="E260">
        <v>41.39</v>
      </c>
      <c r="F260">
        <v>393.99</v>
      </c>
    </row>
    <row r="261" spans="1:6">
      <c r="A261" s="5">
        <v>2022</v>
      </c>
      <c r="B261" t="s">
        <v>24</v>
      </c>
      <c r="C261" t="s">
        <v>14</v>
      </c>
      <c r="D261">
        <v>2693</v>
      </c>
      <c r="E261">
        <v>35.57</v>
      </c>
      <c r="F261">
        <v>119.58</v>
      </c>
    </row>
    <row r="262" spans="1:6">
      <c r="A262" s="5">
        <v>2022</v>
      </c>
      <c r="B262" t="s">
        <v>24</v>
      </c>
      <c r="C262" t="s">
        <v>15</v>
      </c>
      <c r="D262">
        <v>4436</v>
      </c>
      <c r="E262">
        <v>42.2</v>
      </c>
      <c r="F262">
        <v>227.11</v>
      </c>
    </row>
    <row r="263" spans="1:6">
      <c r="A263" s="5">
        <v>2022</v>
      </c>
      <c r="B263" t="s">
        <v>24</v>
      </c>
      <c r="C263" t="s">
        <v>16</v>
      </c>
      <c r="D263">
        <v>9754</v>
      </c>
      <c r="E263">
        <v>46.13</v>
      </c>
      <c r="F263">
        <v>447.96</v>
      </c>
    </row>
    <row r="264" spans="1:6">
      <c r="A264" s="5">
        <v>2022</v>
      </c>
      <c r="B264" t="s">
        <v>24</v>
      </c>
      <c r="C264" t="s">
        <v>7</v>
      </c>
      <c r="D264">
        <v>6895</v>
      </c>
      <c r="E264">
        <v>34.69</v>
      </c>
      <c r="F264">
        <v>358.79</v>
      </c>
    </row>
    <row r="265" spans="1:6">
      <c r="A265" s="5">
        <v>2022</v>
      </c>
      <c r="B265" t="s">
        <v>24</v>
      </c>
      <c r="C265" t="s">
        <v>8</v>
      </c>
      <c r="D265">
        <v>4354</v>
      </c>
      <c r="E265">
        <v>49.22</v>
      </c>
      <c r="F265">
        <v>203.03</v>
      </c>
    </row>
    <row r="266" spans="1:6">
      <c r="A266" s="5">
        <v>2022</v>
      </c>
      <c r="B266" t="s">
        <v>24</v>
      </c>
      <c r="C266" t="s">
        <v>9</v>
      </c>
      <c r="D266">
        <v>1225</v>
      </c>
      <c r="E266">
        <v>34.32</v>
      </c>
      <c r="F266">
        <v>77.55</v>
      </c>
    </row>
    <row r="267" spans="1:6">
      <c r="A267" s="5">
        <v>2022</v>
      </c>
      <c r="B267" t="s">
        <v>24</v>
      </c>
      <c r="C267" t="s">
        <v>10</v>
      </c>
      <c r="D267">
        <v>5893</v>
      </c>
      <c r="E267">
        <v>35.47</v>
      </c>
      <c r="F267">
        <v>281.11</v>
      </c>
    </row>
    <row r="268" spans="1:6">
      <c r="A268" s="5">
        <v>2022</v>
      </c>
      <c r="B268" t="s">
        <v>24</v>
      </c>
      <c r="C268" t="s">
        <v>11</v>
      </c>
      <c r="D268">
        <v>8022</v>
      </c>
      <c r="E268">
        <v>32.19</v>
      </c>
      <c r="F268">
        <v>370.08</v>
      </c>
    </row>
    <row r="269" spans="1:6">
      <c r="A269" s="5">
        <v>2022</v>
      </c>
      <c r="B269" t="s">
        <v>24</v>
      </c>
      <c r="C269" t="s">
        <v>12</v>
      </c>
      <c r="D269">
        <v>6600</v>
      </c>
      <c r="E269">
        <v>13.64</v>
      </c>
      <c r="F269">
        <v>356.61</v>
      </c>
    </row>
    <row r="270" spans="1:6">
      <c r="A270" s="5">
        <v>2022</v>
      </c>
      <c r="B270" t="s">
        <v>24</v>
      </c>
      <c r="C270" t="s">
        <v>13</v>
      </c>
      <c r="D270">
        <v>8996</v>
      </c>
      <c r="E270">
        <v>39.06</v>
      </c>
      <c r="F270">
        <v>432.01</v>
      </c>
    </row>
    <row r="271" spans="1:6">
      <c r="A271" s="5">
        <v>2022</v>
      </c>
      <c r="B271" t="s">
        <v>24</v>
      </c>
      <c r="C271" t="s">
        <v>14</v>
      </c>
      <c r="D271">
        <v>8683</v>
      </c>
      <c r="E271">
        <v>31.9</v>
      </c>
      <c r="F271">
        <v>410.26</v>
      </c>
    </row>
    <row r="272" spans="1:6">
      <c r="A272" s="5">
        <v>2022</v>
      </c>
      <c r="B272" t="s">
        <v>24</v>
      </c>
      <c r="C272" t="s">
        <v>15</v>
      </c>
      <c r="D272">
        <v>5642</v>
      </c>
      <c r="E272">
        <v>28.04</v>
      </c>
      <c r="F272">
        <v>313.82</v>
      </c>
    </row>
    <row r="273" spans="1:6">
      <c r="A273" s="5">
        <v>2022</v>
      </c>
      <c r="B273" t="s">
        <v>24</v>
      </c>
      <c r="C273" t="s">
        <v>16</v>
      </c>
      <c r="D273">
        <v>8679</v>
      </c>
      <c r="E273">
        <v>46.42</v>
      </c>
      <c r="F273">
        <v>460.27</v>
      </c>
    </row>
    <row r="274" spans="1:6">
      <c r="A274" s="5">
        <v>2022</v>
      </c>
      <c r="B274" t="s">
        <v>24</v>
      </c>
      <c r="C274" t="s">
        <v>7</v>
      </c>
      <c r="D274">
        <v>9208</v>
      </c>
      <c r="E274">
        <v>21.92</v>
      </c>
      <c r="F274">
        <v>468.16</v>
      </c>
    </row>
    <row r="275" spans="1:6">
      <c r="A275" s="5">
        <v>2022</v>
      </c>
      <c r="B275" t="s">
        <v>24</v>
      </c>
      <c r="C275" t="s">
        <v>8</v>
      </c>
      <c r="D275">
        <v>8339</v>
      </c>
      <c r="E275">
        <v>30.94</v>
      </c>
      <c r="F275">
        <v>428.3</v>
      </c>
    </row>
    <row r="276" spans="1:6">
      <c r="A276" s="5">
        <v>2022</v>
      </c>
      <c r="B276" t="s">
        <v>24</v>
      </c>
      <c r="C276" t="s">
        <v>9</v>
      </c>
      <c r="D276">
        <v>3205</v>
      </c>
      <c r="E276">
        <v>37.909999999999997</v>
      </c>
      <c r="F276">
        <v>158.61000000000001</v>
      </c>
    </row>
    <row r="277" spans="1:6">
      <c r="A277" s="5">
        <v>2022</v>
      </c>
      <c r="B277" t="s">
        <v>25</v>
      </c>
      <c r="C277" t="s">
        <v>10</v>
      </c>
      <c r="D277">
        <v>2069</v>
      </c>
      <c r="E277">
        <v>41.86</v>
      </c>
      <c r="F277">
        <v>90.04</v>
      </c>
    </row>
    <row r="278" spans="1:6">
      <c r="A278" s="5">
        <v>2022</v>
      </c>
      <c r="B278" t="s">
        <v>25</v>
      </c>
      <c r="C278" t="s">
        <v>11</v>
      </c>
      <c r="D278">
        <v>4444</v>
      </c>
      <c r="E278">
        <v>28.37</v>
      </c>
      <c r="F278">
        <v>251.43</v>
      </c>
    </row>
    <row r="279" spans="1:6">
      <c r="A279" s="5">
        <v>2022</v>
      </c>
      <c r="B279" t="s">
        <v>25</v>
      </c>
      <c r="C279" t="s">
        <v>12</v>
      </c>
      <c r="D279">
        <v>2060</v>
      </c>
      <c r="E279">
        <v>43.68</v>
      </c>
      <c r="F279">
        <v>120.78</v>
      </c>
    </row>
    <row r="280" spans="1:6">
      <c r="A280" s="5">
        <v>2022</v>
      </c>
      <c r="B280" t="s">
        <v>25</v>
      </c>
      <c r="C280" t="s">
        <v>13</v>
      </c>
      <c r="D280">
        <v>3327</v>
      </c>
      <c r="E280">
        <v>40.76</v>
      </c>
      <c r="F280">
        <v>150.07</v>
      </c>
    </row>
    <row r="281" spans="1:6">
      <c r="A281" s="5">
        <v>2022</v>
      </c>
      <c r="B281" t="s">
        <v>25</v>
      </c>
      <c r="C281" t="s">
        <v>14</v>
      </c>
      <c r="D281">
        <v>4420</v>
      </c>
      <c r="E281">
        <v>12.65</v>
      </c>
      <c r="F281">
        <v>256.72000000000003</v>
      </c>
    </row>
    <row r="282" spans="1:6">
      <c r="A282" s="5">
        <v>2022</v>
      </c>
      <c r="B282" t="s">
        <v>25</v>
      </c>
      <c r="C282" t="s">
        <v>15</v>
      </c>
      <c r="D282">
        <v>1301</v>
      </c>
      <c r="E282">
        <v>11.83</v>
      </c>
      <c r="F282">
        <v>126.54</v>
      </c>
    </row>
    <row r="283" spans="1:6">
      <c r="A283" s="5">
        <v>2022</v>
      </c>
      <c r="B283" t="s">
        <v>25</v>
      </c>
      <c r="C283" t="s">
        <v>16</v>
      </c>
      <c r="D283">
        <v>1606</v>
      </c>
      <c r="E283">
        <v>34.83</v>
      </c>
      <c r="F283">
        <v>102.28</v>
      </c>
    </row>
    <row r="284" spans="1:6">
      <c r="A284" s="5">
        <v>2022</v>
      </c>
      <c r="B284" t="s">
        <v>25</v>
      </c>
      <c r="C284" t="s">
        <v>7</v>
      </c>
      <c r="D284">
        <v>4170</v>
      </c>
      <c r="E284">
        <v>23.9</v>
      </c>
      <c r="F284">
        <v>246.58</v>
      </c>
    </row>
    <row r="285" spans="1:6">
      <c r="A285" s="5">
        <v>2022</v>
      </c>
      <c r="B285" t="s">
        <v>25</v>
      </c>
      <c r="C285" t="s">
        <v>8</v>
      </c>
      <c r="D285">
        <v>1699</v>
      </c>
      <c r="E285">
        <v>18.37</v>
      </c>
      <c r="F285">
        <v>140.27000000000001</v>
      </c>
    </row>
    <row r="286" spans="1:6">
      <c r="A286" s="5">
        <v>2022</v>
      </c>
      <c r="B286" t="s">
        <v>25</v>
      </c>
      <c r="C286" t="s">
        <v>9</v>
      </c>
      <c r="D286">
        <v>6088</v>
      </c>
      <c r="E286">
        <v>33.19</v>
      </c>
      <c r="F286">
        <v>341.67</v>
      </c>
    </row>
    <row r="287" spans="1:6">
      <c r="A287" s="5">
        <v>2022</v>
      </c>
      <c r="B287" t="s">
        <v>25</v>
      </c>
      <c r="C287" t="s">
        <v>10</v>
      </c>
      <c r="D287">
        <v>1190</v>
      </c>
      <c r="E287">
        <v>23.66</v>
      </c>
      <c r="F287">
        <v>101.68</v>
      </c>
    </row>
    <row r="288" spans="1:6">
      <c r="A288" s="5">
        <v>2022</v>
      </c>
      <c r="B288" t="s">
        <v>25</v>
      </c>
      <c r="C288" t="s">
        <v>11</v>
      </c>
      <c r="D288">
        <v>1980</v>
      </c>
      <c r="E288">
        <v>31.49</v>
      </c>
      <c r="F288">
        <v>114.11</v>
      </c>
    </row>
    <row r="289" spans="1:6">
      <c r="A289" s="5">
        <v>2022</v>
      </c>
      <c r="B289" t="s">
        <v>25</v>
      </c>
      <c r="C289" t="s">
        <v>12</v>
      </c>
      <c r="D289">
        <v>3975</v>
      </c>
      <c r="E289">
        <v>28.4</v>
      </c>
      <c r="F289">
        <v>207.01</v>
      </c>
    </row>
    <row r="290" spans="1:6">
      <c r="A290" s="5">
        <v>2022</v>
      </c>
      <c r="B290" t="s">
        <v>25</v>
      </c>
      <c r="C290" t="s">
        <v>13</v>
      </c>
      <c r="D290">
        <v>7102</v>
      </c>
      <c r="E290">
        <v>33.39</v>
      </c>
      <c r="F290">
        <v>367.1</v>
      </c>
    </row>
    <row r="291" spans="1:6">
      <c r="A291" s="5">
        <v>2022</v>
      </c>
      <c r="B291" t="s">
        <v>25</v>
      </c>
      <c r="C291" t="s">
        <v>14</v>
      </c>
      <c r="D291">
        <v>2184</v>
      </c>
      <c r="E291">
        <v>26.01</v>
      </c>
      <c r="F291">
        <v>117.3</v>
      </c>
    </row>
    <row r="292" spans="1:6">
      <c r="A292" s="5">
        <v>2022</v>
      </c>
      <c r="B292" t="s">
        <v>25</v>
      </c>
      <c r="C292" t="s">
        <v>15</v>
      </c>
      <c r="D292">
        <v>4327</v>
      </c>
      <c r="E292">
        <v>37.909999999999997</v>
      </c>
      <c r="F292">
        <v>181.81</v>
      </c>
    </row>
    <row r="293" spans="1:6">
      <c r="A293" s="5">
        <v>2022</v>
      </c>
      <c r="B293" t="s">
        <v>25</v>
      </c>
      <c r="C293" t="s">
        <v>16</v>
      </c>
      <c r="D293">
        <v>4394</v>
      </c>
      <c r="E293">
        <v>17.2</v>
      </c>
      <c r="F293">
        <v>243.47</v>
      </c>
    </row>
    <row r="294" spans="1:6">
      <c r="A294" s="5">
        <v>2022</v>
      </c>
      <c r="B294" t="s">
        <v>25</v>
      </c>
      <c r="C294" t="s">
        <v>7</v>
      </c>
      <c r="D294">
        <v>9319</v>
      </c>
      <c r="E294">
        <v>37.86</v>
      </c>
      <c r="F294">
        <v>477.67</v>
      </c>
    </row>
    <row r="295" spans="1:6">
      <c r="A295" s="5">
        <v>2022</v>
      </c>
      <c r="B295" t="s">
        <v>25</v>
      </c>
      <c r="C295" t="s">
        <v>8</v>
      </c>
      <c r="D295">
        <v>2816</v>
      </c>
      <c r="E295">
        <v>26.47</v>
      </c>
      <c r="F295">
        <v>147.29</v>
      </c>
    </row>
    <row r="296" spans="1:6">
      <c r="A296" s="5">
        <v>2022</v>
      </c>
      <c r="B296" t="s">
        <v>25</v>
      </c>
      <c r="C296" t="s">
        <v>9</v>
      </c>
      <c r="D296">
        <v>6854</v>
      </c>
      <c r="E296">
        <v>44.97</v>
      </c>
      <c r="F296">
        <v>334.88</v>
      </c>
    </row>
    <row r="297" spans="1:6">
      <c r="A297" s="5">
        <v>2022</v>
      </c>
      <c r="B297" t="s">
        <v>25</v>
      </c>
      <c r="C297" t="s">
        <v>10</v>
      </c>
      <c r="D297">
        <v>7709</v>
      </c>
      <c r="E297">
        <v>30.61</v>
      </c>
      <c r="F297">
        <v>395.64</v>
      </c>
    </row>
    <row r="298" spans="1:6">
      <c r="A298" s="5">
        <v>2022</v>
      </c>
      <c r="B298" t="s">
        <v>25</v>
      </c>
      <c r="C298" t="s">
        <v>11</v>
      </c>
      <c r="D298">
        <v>1569</v>
      </c>
      <c r="E298">
        <v>48.92</v>
      </c>
      <c r="F298">
        <v>96.88</v>
      </c>
    </row>
    <row r="299" spans="1:6">
      <c r="A299" s="5">
        <v>2022</v>
      </c>
      <c r="B299" t="s">
        <v>25</v>
      </c>
      <c r="C299" t="s">
        <v>12</v>
      </c>
      <c r="D299">
        <v>6442</v>
      </c>
      <c r="E299">
        <v>34.08</v>
      </c>
      <c r="F299">
        <v>324.02</v>
      </c>
    </row>
    <row r="300" spans="1:6">
      <c r="A300" s="5">
        <v>2022</v>
      </c>
      <c r="B300" t="s">
        <v>25</v>
      </c>
      <c r="C300" t="s">
        <v>13</v>
      </c>
      <c r="D300">
        <v>2895</v>
      </c>
      <c r="E300">
        <v>18.95</v>
      </c>
      <c r="F300">
        <v>199.14</v>
      </c>
    </row>
    <row r="301" spans="1:6">
      <c r="A301" s="5">
        <v>2022</v>
      </c>
      <c r="B301" t="s">
        <v>25</v>
      </c>
      <c r="C301" t="s">
        <v>14</v>
      </c>
      <c r="D301">
        <v>3733</v>
      </c>
      <c r="E301">
        <v>42.87</v>
      </c>
      <c r="F301">
        <v>130.94999999999999</v>
      </c>
    </row>
    <row r="302" spans="1:6">
      <c r="A302" s="5">
        <v>2022</v>
      </c>
      <c r="B302" t="s">
        <v>25</v>
      </c>
      <c r="C302" t="s">
        <v>15</v>
      </c>
      <c r="D302">
        <v>4863</v>
      </c>
      <c r="E302">
        <v>23.8</v>
      </c>
      <c r="F302">
        <v>291.54000000000002</v>
      </c>
    </row>
    <row r="303" spans="1:6">
      <c r="A303" s="5">
        <v>2022</v>
      </c>
      <c r="B303" t="s">
        <v>25</v>
      </c>
      <c r="C303" t="s">
        <v>16</v>
      </c>
      <c r="D303">
        <v>8455</v>
      </c>
      <c r="E303">
        <v>23.9</v>
      </c>
      <c r="F303">
        <v>470.01</v>
      </c>
    </row>
    <row r="304" spans="1:6">
      <c r="A304" s="5">
        <v>2022</v>
      </c>
      <c r="B304" t="s">
        <v>25</v>
      </c>
      <c r="C304" t="s">
        <v>7</v>
      </c>
      <c r="D304">
        <v>5014</v>
      </c>
      <c r="E304">
        <v>11.27</v>
      </c>
      <c r="F304">
        <v>305.22000000000003</v>
      </c>
    </row>
    <row r="305" spans="1:6">
      <c r="A305" s="5">
        <v>2022</v>
      </c>
      <c r="B305" t="s">
        <v>25</v>
      </c>
      <c r="C305" t="s">
        <v>8</v>
      </c>
      <c r="D305">
        <v>2686</v>
      </c>
      <c r="E305">
        <v>31.95</v>
      </c>
      <c r="F305">
        <v>105.72</v>
      </c>
    </row>
    <row r="306" spans="1:6">
      <c r="A306" s="5">
        <v>2022</v>
      </c>
      <c r="B306" t="s">
        <v>25</v>
      </c>
      <c r="C306" t="s">
        <v>9</v>
      </c>
      <c r="D306">
        <v>4009</v>
      </c>
      <c r="E306">
        <v>31.38</v>
      </c>
      <c r="F306">
        <v>233.18</v>
      </c>
    </row>
    <row r="307" spans="1:6">
      <c r="A307" s="5">
        <v>2022</v>
      </c>
      <c r="B307" t="s">
        <v>25</v>
      </c>
      <c r="C307" t="s">
        <v>10</v>
      </c>
      <c r="D307">
        <v>8806</v>
      </c>
      <c r="E307">
        <v>24.24</v>
      </c>
      <c r="F307">
        <v>460.21</v>
      </c>
    </row>
    <row r="308" spans="1:6">
      <c r="A308" s="5">
        <v>2022</v>
      </c>
      <c r="B308" t="s">
        <v>26</v>
      </c>
      <c r="C308" t="s">
        <v>11</v>
      </c>
      <c r="D308">
        <v>1154</v>
      </c>
      <c r="E308">
        <v>45.77</v>
      </c>
      <c r="F308">
        <v>2.19</v>
      </c>
    </row>
    <row r="309" spans="1:6">
      <c r="A309" s="5">
        <v>2022</v>
      </c>
      <c r="B309" t="s">
        <v>26</v>
      </c>
      <c r="C309" t="s">
        <v>12</v>
      </c>
      <c r="D309">
        <v>2409</v>
      </c>
      <c r="E309">
        <v>15.15</v>
      </c>
      <c r="F309">
        <v>178.23</v>
      </c>
    </row>
    <row r="310" spans="1:6">
      <c r="A310" s="5">
        <v>2022</v>
      </c>
      <c r="B310" t="s">
        <v>26</v>
      </c>
      <c r="C310" t="s">
        <v>13</v>
      </c>
      <c r="D310">
        <v>1784</v>
      </c>
      <c r="E310">
        <v>23.2</v>
      </c>
      <c r="F310">
        <v>140.24</v>
      </c>
    </row>
    <row r="311" spans="1:6">
      <c r="A311" s="5">
        <v>2022</v>
      </c>
      <c r="B311" t="s">
        <v>26</v>
      </c>
      <c r="C311" t="s">
        <v>14</v>
      </c>
      <c r="D311">
        <v>9096</v>
      </c>
      <c r="E311">
        <v>22.86</v>
      </c>
      <c r="F311">
        <v>439.27</v>
      </c>
    </row>
    <row r="312" spans="1:6">
      <c r="A312" s="5">
        <v>2022</v>
      </c>
      <c r="B312" t="s">
        <v>26</v>
      </c>
      <c r="C312" t="s">
        <v>15</v>
      </c>
      <c r="D312">
        <v>8560</v>
      </c>
      <c r="E312">
        <v>13.69</v>
      </c>
      <c r="F312">
        <v>465.08</v>
      </c>
    </row>
    <row r="313" spans="1:6">
      <c r="A313" s="5">
        <v>2022</v>
      </c>
      <c r="B313" t="s">
        <v>26</v>
      </c>
      <c r="C313" t="s">
        <v>16</v>
      </c>
      <c r="D313">
        <v>8343</v>
      </c>
      <c r="E313">
        <v>29.25</v>
      </c>
      <c r="F313">
        <v>459.83</v>
      </c>
    </row>
    <row r="314" spans="1:6">
      <c r="A314" s="5">
        <v>2022</v>
      </c>
      <c r="B314" t="s">
        <v>26</v>
      </c>
      <c r="C314" t="s">
        <v>7</v>
      </c>
      <c r="D314">
        <v>8206</v>
      </c>
      <c r="E314">
        <v>37.51</v>
      </c>
      <c r="F314">
        <v>439.89</v>
      </c>
    </row>
    <row r="315" spans="1:6">
      <c r="A315" s="5">
        <v>2022</v>
      </c>
      <c r="B315" t="s">
        <v>26</v>
      </c>
      <c r="C315" t="s">
        <v>8</v>
      </c>
      <c r="D315">
        <v>6596</v>
      </c>
      <c r="E315">
        <v>30.47</v>
      </c>
      <c r="F315">
        <v>359.96</v>
      </c>
    </row>
    <row r="316" spans="1:6">
      <c r="A316" s="5">
        <v>2022</v>
      </c>
      <c r="B316" t="s">
        <v>26</v>
      </c>
      <c r="C316" t="s">
        <v>9</v>
      </c>
      <c r="D316">
        <v>6801</v>
      </c>
      <c r="E316">
        <v>16.28</v>
      </c>
      <c r="F316">
        <v>317.57</v>
      </c>
    </row>
    <row r="317" spans="1:6">
      <c r="A317" s="5">
        <v>2022</v>
      </c>
      <c r="B317" t="s">
        <v>26</v>
      </c>
      <c r="C317" t="s">
        <v>10</v>
      </c>
      <c r="D317">
        <v>3806</v>
      </c>
      <c r="E317">
        <v>25.09</v>
      </c>
      <c r="F317">
        <v>224.78</v>
      </c>
    </row>
    <row r="318" spans="1:6">
      <c r="A318" s="5">
        <v>2022</v>
      </c>
      <c r="B318" t="s">
        <v>26</v>
      </c>
      <c r="C318" t="s">
        <v>11</v>
      </c>
      <c r="D318">
        <v>1537</v>
      </c>
      <c r="E318">
        <v>10.1</v>
      </c>
      <c r="F318">
        <v>110.36</v>
      </c>
    </row>
    <row r="319" spans="1:6">
      <c r="A319" s="5">
        <v>2022</v>
      </c>
      <c r="B319" t="s">
        <v>26</v>
      </c>
      <c r="C319" t="s">
        <v>12</v>
      </c>
      <c r="D319">
        <v>6986</v>
      </c>
      <c r="E319">
        <v>44.73</v>
      </c>
      <c r="F319">
        <v>365.54</v>
      </c>
    </row>
    <row r="320" spans="1:6">
      <c r="A320" s="5">
        <v>2022</v>
      </c>
      <c r="B320" t="s">
        <v>26</v>
      </c>
      <c r="C320" t="s">
        <v>13</v>
      </c>
      <c r="D320">
        <v>2841</v>
      </c>
      <c r="E320">
        <v>13.38</v>
      </c>
      <c r="F320">
        <v>181.12</v>
      </c>
    </row>
    <row r="321" spans="1:6">
      <c r="A321" s="5">
        <v>2022</v>
      </c>
      <c r="B321" t="s">
        <v>26</v>
      </c>
      <c r="C321" t="s">
        <v>14</v>
      </c>
      <c r="D321">
        <v>9716</v>
      </c>
      <c r="E321">
        <v>33.89</v>
      </c>
      <c r="F321">
        <v>494.73</v>
      </c>
    </row>
    <row r="322" spans="1:6">
      <c r="A322" s="5">
        <v>2022</v>
      </c>
      <c r="B322" t="s">
        <v>26</v>
      </c>
      <c r="C322" t="s">
        <v>15</v>
      </c>
      <c r="D322">
        <v>7971</v>
      </c>
      <c r="E322">
        <v>49.45</v>
      </c>
      <c r="F322">
        <v>402.03</v>
      </c>
    </row>
    <row r="323" spans="1:6">
      <c r="A323" s="5">
        <v>2022</v>
      </c>
      <c r="B323" t="s">
        <v>26</v>
      </c>
      <c r="C323" t="s">
        <v>16</v>
      </c>
      <c r="D323">
        <v>6625</v>
      </c>
      <c r="E323">
        <v>31.46</v>
      </c>
      <c r="F323">
        <v>340.06</v>
      </c>
    </row>
    <row r="324" spans="1:6">
      <c r="A324" s="5">
        <v>2022</v>
      </c>
      <c r="B324" t="s">
        <v>27</v>
      </c>
      <c r="C324" t="s">
        <v>7</v>
      </c>
      <c r="D324">
        <v>3950</v>
      </c>
      <c r="E324">
        <v>46.96</v>
      </c>
      <c r="F324">
        <v>190.66</v>
      </c>
    </row>
    <row r="325" spans="1:6">
      <c r="A325" s="5">
        <v>2022</v>
      </c>
      <c r="B325" t="s">
        <v>27</v>
      </c>
      <c r="C325" t="s">
        <v>8</v>
      </c>
      <c r="D325">
        <v>8992</v>
      </c>
      <c r="E325">
        <v>19.440000000000001</v>
      </c>
      <c r="F325">
        <v>465.16</v>
      </c>
    </row>
    <row r="326" spans="1:6">
      <c r="A326" s="5">
        <v>2022</v>
      </c>
      <c r="B326" t="s">
        <v>27</v>
      </c>
      <c r="C326" t="s">
        <v>9</v>
      </c>
      <c r="D326">
        <v>5780</v>
      </c>
      <c r="E326">
        <v>40.4</v>
      </c>
      <c r="F326">
        <v>258.41000000000003</v>
      </c>
    </row>
    <row r="327" spans="1:6">
      <c r="A327" s="5">
        <v>2022</v>
      </c>
      <c r="B327" t="s">
        <v>27</v>
      </c>
      <c r="C327" t="s">
        <v>10</v>
      </c>
      <c r="D327">
        <v>3368</v>
      </c>
      <c r="E327">
        <v>31.25</v>
      </c>
      <c r="F327">
        <v>192.26</v>
      </c>
    </row>
    <row r="328" spans="1:6">
      <c r="A328" s="5">
        <v>2022</v>
      </c>
      <c r="B328" t="s">
        <v>27</v>
      </c>
      <c r="C328" t="s">
        <v>11</v>
      </c>
      <c r="D328">
        <v>7655</v>
      </c>
      <c r="E328">
        <v>38.82</v>
      </c>
      <c r="F328">
        <v>370.04</v>
      </c>
    </row>
    <row r="329" spans="1:6">
      <c r="A329" s="5">
        <v>2022</v>
      </c>
      <c r="B329" t="s">
        <v>27</v>
      </c>
      <c r="C329" t="s">
        <v>12</v>
      </c>
      <c r="D329">
        <v>9173</v>
      </c>
      <c r="E329">
        <v>12.49</v>
      </c>
      <c r="F329">
        <v>489.64</v>
      </c>
    </row>
    <row r="330" spans="1:6">
      <c r="A330" s="5">
        <v>2022</v>
      </c>
      <c r="B330" t="s">
        <v>27</v>
      </c>
      <c r="C330" t="s">
        <v>13</v>
      </c>
      <c r="D330">
        <v>5495</v>
      </c>
      <c r="E330">
        <v>15.91</v>
      </c>
      <c r="F330">
        <v>311.39999999999998</v>
      </c>
    </row>
    <row r="331" spans="1:6">
      <c r="A331" s="5">
        <v>2022</v>
      </c>
      <c r="B331" t="s">
        <v>27</v>
      </c>
      <c r="C331" t="s">
        <v>14</v>
      </c>
      <c r="D331">
        <v>7002</v>
      </c>
      <c r="E331">
        <v>15.32</v>
      </c>
      <c r="F331">
        <v>340.01</v>
      </c>
    </row>
    <row r="332" spans="1:6">
      <c r="A332" s="5">
        <v>2022</v>
      </c>
      <c r="B332" t="s">
        <v>27</v>
      </c>
      <c r="C332" t="s">
        <v>15</v>
      </c>
      <c r="D332">
        <v>7614</v>
      </c>
      <c r="E332">
        <v>37.49</v>
      </c>
      <c r="F332">
        <v>348.49</v>
      </c>
    </row>
    <row r="333" spans="1:6">
      <c r="A333" s="5">
        <v>2022</v>
      </c>
      <c r="B333" t="s">
        <v>27</v>
      </c>
      <c r="C333" t="s">
        <v>16</v>
      </c>
      <c r="D333">
        <v>6919</v>
      </c>
      <c r="E333">
        <v>43.78</v>
      </c>
      <c r="F333">
        <v>337.42</v>
      </c>
    </row>
    <row r="334" spans="1:6">
      <c r="A334" s="5">
        <v>2022</v>
      </c>
      <c r="B334" t="s">
        <v>27</v>
      </c>
      <c r="C334" t="s">
        <v>7</v>
      </c>
      <c r="D334">
        <v>1853</v>
      </c>
      <c r="E334">
        <v>39.979999999999997</v>
      </c>
      <c r="F334">
        <v>103.76</v>
      </c>
    </row>
    <row r="335" spans="1:6">
      <c r="A335" s="5">
        <v>2022</v>
      </c>
      <c r="B335" t="s">
        <v>27</v>
      </c>
      <c r="C335" t="s">
        <v>8</v>
      </c>
      <c r="D335">
        <v>5146</v>
      </c>
      <c r="E335">
        <v>11.22</v>
      </c>
      <c r="F335">
        <v>308.72000000000003</v>
      </c>
    </row>
    <row r="336" spans="1:6">
      <c r="A336" s="5">
        <v>2022</v>
      </c>
      <c r="B336" t="s">
        <v>27</v>
      </c>
      <c r="C336" t="s">
        <v>9</v>
      </c>
      <c r="D336">
        <v>4769</v>
      </c>
      <c r="E336">
        <v>44.69</v>
      </c>
      <c r="F336">
        <v>203</v>
      </c>
    </row>
    <row r="337" spans="1:6">
      <c r="A337" s="5">
        <v>2022</v>
      </c>
      <c r="B337" t="s">
        <v>27</v>
      </c>
      <c r="C337" t="s">
        <v>10</v>
      </c>
      <c r="D337">
        <v>1574</v>
      </c>
      <c r="E337">
        <v>24.17</v>
      </c>
      <c r="F337">
        <v>112.43</v>
      </c>
    </row>
    <row r="338" spans="1:6">
      <c r="A338" s="5">
        <v>2022</v>
      </c>
      <c r="B338" t="s">
        <v>27</v>
      </c>
      <c r="C338" t="s">
        <v>11</v>
      </c>
      <c r="D338">
        <v>2148</v>
      </c>
      <c r="E338">
        <v>25.89</v>
      </c>
      <c r="F338">
        <v>121.43</v>
      </c>
    </row>
    <row r="339" spans="1:6">
      <c r="A339" s="5">
        <v>2022</v>
      </c>
      <c r="B339" t="s">
        <v>27</v>
      </c>
      <c r="C339" t="s">
        <v>12</v>
      </c>
      <c r="D339">
        <v>7293</v>
      </c>
      <c r="E339">
        <v>14.19</v>
      </c>
      <c r="F339">
        <v>379.95</v>
      </c>
    </row>
    <row r="340" spans="1:6">
      <c r="A340" s="5">
        <v>2022</v>
      </c>
      <c r="B340" t="s">
        <v>27</v>
      </c>
      <c r="C340" t="s">
        <v>13</v>
      </c>
      <c r="D340">
        <v>7457</v>
      </c>
      <c r="E340">
        <v>39.5</v>
      </c>
      <c r="F340">
        <v>362.48</v>
      </c>
    </row>
    <row r="341" spans="1:6">
      <c r="A341" s="5">
        <v>2022</v>
      </c>
      <c r="B341" t="s">
        <v>27</v>
      </c>
      <c r="C341" t="s">
        <v>14</v>
      </c>
      <c r="D341">
        <v>8509</v>
      </c>
      <c r="E341">
        <v>17.29</v>
      </c>
      <c r="F341">
        <v>470.74</v>
      </c>
    </row>
    <row r="342" spans="1:6">
      <c r="A342" s="5">
        <v>2022</v>
      </c>
      <c r="B342" t="s">
        <v>27</v>
      </c>
      <c r="C342" t="s">
        <v>15</v>
      </c>
      <c r="D342">
        <v>5777</v>
      </c>
      <c r="E342">
        <v>32.56</v>
      </c>
      <c r="F342">
        <v>305.26</v>
      </c>
    </row>
    <row r="343" spans="1:6">
      <c r="A343" s="5">
        <v>2022</v>
      </c>
      <c r="B343" t="s">
        <v>27</v>
      </c>
      <c r="C343" t="s">
        <v>16</v>
      </c>
      <c r="D343">
        <v>4854</v>
      </c>
      <c r="E343">
        <v>43.63</v>
      </c>
      <c r="F343">
        <v>241.35</v>
      </c>
    </row>
    <row r="344" spans="1:6">
      <c r="A344" s="5">
        <v>2022</v>
      </c>
      <c r="B344" t="s">
        <v>27</v>
      </c>
      <c r="C344" t="s">
        <v>7</v>
      </c>
      <c r="D344">
        <v>3491</v>
      </c>
      <c r="E344">
        <v>13.57</v>
      </c>
      <c r="F344">
        <v>213.14</v>
      </c>
    </row>
    <row r="345" spans="1:6">
      <c r="A345" s="5">
        <v>2022</v>
      </c>
      <c r="B345" t="s">
        <v>27</v>
      </c>
      <c r="C345" t="s">
        <v>8</v>
      </c>
      <c r="D345">
        <v>4124</v>
      </c>
      <c r="E345">
        <v>31.41</v>
      </c>
      <c r="F345">
        <v>237.07</v>
      </c>
    </row>
    <row r="346" spans="1:6">
      <c r="A346" s="5">
        <v>2022</v>
      </c>
      <c r="B346" t="s">
        <v>27</v>
      </c>
      <c r="C346" t="s">
        <v>9</v>
      </c>
      <c r="D346">
        <v>6691</v>
      </c>
      <c r="E346">
        <v>19.329999999999998</v>
      </c>
      <c r="F346">
        <v>359.41</v>
      </c>
    </row>
    <row r="347" spans="1:6">
      <c r="A347" s="5">
        <v>2022</v>
      </c>
      <c r="B347" t="s">
        <v>27</v>
      </c>
      <c r="C347" t="s">
        <v>10</v>
      </c>
      <c r="D347">
        <v>4051</v>
      </c>
      <c r="E347">
        <v>23.72</v>
      </c>
      <c r="F347">
        <v>225.18</v>
      </c>
    </row>
    <row r="348" spans="1:6">
      <c r="A348" s="5">
        <v>2022</v>
      </c>
      <c r="B348" t="s">
        <v>27</v>
      </c>
      <c r="C348" t="s">
        <v>11</v>
      </c>
      <c r="D348">
        <v>1004</v>
      </c>
      <c r="E348">
        <v>28.96</v>
      </c>
      <c r="F348">
        <v>88.21</v>
      </c>
    </row>
    <row r="349" spans="1:6">
      <c r="A349" s="5">
        <v>2022</v>
      </c>
      <c r="B349" t="s">
        <v>27</v>
      </c>
      <c r="C349" t="s">
        <v>12</v>
      </c>
      <c r="D349">
        <v>6222</v>
      </c>
      <c r="E349">
        <v>24.2</v>
      </c>
      <c r="F349">
        <v>325.42</v>
      </c>
    </row>
    <row r="350" spans="1:6">
      <c r="A350" s="5">
        <v>2022</v>
      </c>
      <c r="B350" t="s">
        <v>27</v>
      </c>
      <c r="C350" t="s">
        <v>13</v>
      </c>
      <c r="D350">
        <v>6315</v>
      </c>
      <c r="E350">
        <v>35.950000000000003</v>
      </c>
      <c r="F350">
        <v>334.97</v>
      </c>
    </row>
    <row r="351" spans="1:6">
      <c r="A351" s="5">
        <v>2022</v>
      </c>
      <c r="B351" t="s">
        <v>27</v>
      </c>
      <c r="C351" t="s">
        <v>14</v>
      </c>
      <c r="D351">
        <v>5869</v>
      </c>
      <c r="E351">
        <v>29.18</v>
      </c>
      <c r="F351">
        <v>298.36</v>
      </c>
    </row>
    <row r="352" spans="1:6">
      <c r="A352" s="5">
        <v>2022</v>
      </c>
      <c r="B352" t="s">
        <v>27</v>
      </c>
      <c r="C352" t="s">
        <v>15</v>
      </c>
      <c r="D352">
        <v>1876</v>
      </c>
      <c r="E352">
        <v>33.369999999999997</v>
      </c>
      <c r="F352">
        <v>95.44</v>
      </c>
    </row>
    <row r="353" spans="1:6">
      <c r="A353" s="5">
        <v>2022</v>
      </c>
      <c r="B353" t="s">
        <v>27</v>
      </c>
      <c r="C353" t="s">
        <v>16</v>
      </c>
      <c r="D353">
        <v>8027</v>
      </c>
      <c r="E353">
        <v>39.47</v>
      </c>
      <c r="F353">
        <v>401.9</v>
      </c>
    </row>
    <row r="354" spans="1:6">
      <c r="A354" s="5">
        <v>2022</v>
      </c>
      <c r="B354" t="s">
        <v>27</v>
      </c>
      <c r="C354" t="s">
        <v>7</v>
      </c>
      <c r="D354">
        <v>5142</v>
      </c>
      <c r="E354">
        <v>32.31</v>
      </c>
      <c r="F354">
        <v>278.63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F490-F277-4C2E-AFCE-A5BAAA563F47}">
  <dimension ref="A1:P354"/>
  <sheetViews>
    <sheetView zoomScale="88" zoomScaleNormal="100" workbookViewId="0">
      <selection activeCell="H4" sqref="H4"/>
    </sheetView>
  </sheetViews>
  <sheetFormatPr defaultColWidth="9" defaultRowHeight="14.5"/>
  <cols>
    <col min="1" max="1" width="17" customWidth="1"/>
    <col min="2" max="2" width="15.1796875" customWidth="1"/>
    <col min="3" max="3" width="16.90625" customWidth="1"/>
    <col min="4" max="4" width="24" customWidth="1"/>
    <col min="5" max="5" width="20.6328125" customWidth="1"/>
    <col min="6" max="6" width="14" customWidth="1"/>
    <col min="8" max="8" width="50.36328125" customWidth="1"/>
    <col min="9" max="9" width="43.453125" customWidth="1"/>
    <col min="10" max="10" width="19" customWidth="1"/>
    <col min="11" max="11" width="9.453125" bestFit="1" customWidth="1"/>
    <col min="12" max="12" width="12.6328125" customWidth="1"/>
    <col min="13" max="13" width="16.1796875" customWidth="1"/>
    <col min="14" max="14" width="13.54296875" customWidth="1"/>
    <col min="15" max="15" width="13.6328125" customWidth="1"/>
    <col min="16" max="16" width="11.453125" customWidth="1"/>
  </cols>
  <sheetData>
    <row r="1" spans="1:12" ht="24" thickBot="1">
      <c r="A1" s="3"/>
      <c r="B1" s="3"/>
      <c r="C1" s="3"/>
      <c r="D1" s="6" t="s">
        <v>28</v>
      </c>
      <c r="E1" s="7"/>
      <c r="F1" s="7"/>
      <c r="H1" s="18" t="s">
        <v>67</v>
      </c>
      <c r="I1" s="19" t="s">
        <v>69</v>
      </c>
      <c r="J1" s="2"/>
      <c r="K1" s="2"/>
      <c r="L1" s="2"/>
    </row>
    <row r="3" spans="1:12" ht="15.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H3" s="10">
        <f>_xlfn.FORECAST.LINEAR(10000,F4:F354,D4:D354)</f>
        <v>512.51546863445515</v>
      </c>
      <c r="I3" s="1" t="s">
        <v>73</v>
      </c>
    </row>
    <row r="4" spans="1:12">
      <c r="A4" s="5">
        <v>2022</v>
      </c>
      <c r="B4" t="s">
        <v>6</v>
      </c>
      <c r="C4" t="s">
        <v>7</v>
      </c>
      <c r="D4">
        <v>8270</v>
      </c>
      <c r="E4">
        <v>37.979999999999997</v>
      </c>
      <c r="F4">
        <v>447.51</v>
      </c>
      <c r="H4" s="1" t="s">
        <v>68</v>
      </c>
      <c r="I4" s="10"/>
    </row>
    <row r="5" spans="1:12">
      <c r="A5" s="5">
        <v>2022</v>
      </c>
      <c r="B5" t="s">
        <v>6</v>
      </c>
      <c r="C5" t="s">
        <v>8</v>
      </c>
      <c r="D5">
        <v>1860</v>
      </c>
      <c r="E5">
        <v>15.53</v>
      </c>
      <c r="F5">
        <v>164.08</v>
      </c>
    </row>
    <row r="6" spans="1:12">
      <c r="A6" s="5">
        <v>2022</v>
      </c>
      <c r="B6" t="s">
        <v>6</v>
      </c>
      <c r="C6" t="s">
        <v>9</v>
      </c>
      <c r="D6">
        <v>6390</v>
      </c>
      <c r="E6">
        <v>15.31</v>
      </c>
      <c r="F6">
        <v>320.67</v>
      </c>
      <c r="H6" s="1"/>
    </row>
    <row r="7" spans="1:12">
      <c r="A7" s="5">
        <v>2022</v>
      </c>
      <c r="B7" t="s">
        <v>6</v>
      </c>
      <c r="C7" t="s">
        <v>10</v>
      </c>
      <c r="D7">
        <v>6191</v>
      </c>
      <c r="E7">
        <v>48.78</v>
      </c>
      <c r="F7">
        <v>278.29000000000002</v>
      </c>
      <c r="H7" s="1"/>
    </row>
    <row r="8" spans="1:12">
      <c r="A8" s="5">
        <v>2022</v>
      </c>
      <c r="B8" t="s">
        <v>6</v>
      </c>
      <c r="C8" t="s">
        <v>11</v>
      </c>
      <c r="D8">
        <v>6734</v>
      </c>
      <c r="E8">
        <v>38.58</v>
      </c>
      <c r="F8">
        <v>344.92</v>
      </c>
    </row>
    <row r="9" spans="1:12">
      <c r="A9" s="5">
        <v>2022</v>
      </c>
      <c r="B9" t="s">
        <v>6</v>
      </c>
      <c r="C9" t="s">
        <v>12</v>
      </c>
      <c r="D9">
        <v>7265</v>
      </c>
      <c r="E9">
        <v>11.64</v>
      </c>
      <c r="F9">
        <v>416.07</v>
      </c>
    </row>
    <row r="10" spans="1:12">
      <c r="A10" s="5">
        <v>2022</v>
      </c>
      <c r="B10" t="s">
        <v>6</v>
      </c>
      <c r="C10" t="s">
        <v>13</v>
      </c>
      <c r="D10">
        <v>1466</v>
      </c>
      <c r="E10">
        <v>25.95</v>
      </c>
      <c r="F10">
        <v>91.93</v>
      </c>
    </row>
    <row r="11" spans="1:12" ht="15" thickBot="1">
      <c r="A11" s="5">
        <v>2022</v>
      </c>
      <c r="B11" t="s">
        <v>6</v>
      </c>
      <c r="C11" t="s">
        <v>14</v>
      </c>
      <c r="D11">
        <v>5426</v>
      </c>
      <c r="E11">
        <v>27.34</v>
      </c>
      <c r="F11">
        <v>255.73</v>
      </c>
    </row>
    <row r="12" spans="1:12" ht="15" thickBot="1">
      <c r="A12" s="5">
        <v>2022</v>
      </c>
      <c r="B12" t="s">
        <v>6</v>
      </c>
      <c r="C12" t="s">
        <v>15</v>
      </c>
      <c r="D12">
        <v>6578</v>
      </c>
      <c r="E12">
        <v>39.76</v>
      </c>
      <c r="F12">
        <v>341.12</v>
      </c>
      <c r="H12" s="17"/>
      <c r="I12" s="15"/>
    </row>
    <row r="13" spans="1:12">
      <c r="A13" s="5">
        <v>2022</v>
      </c>
      <c r="B13" t="s">
        <v>6</v>
      </c>
      <c r="C13" t="s">
        <v>16</v>
      </c>
      <c r="D13">
        <v>9322</v>
      </c>
      <c r="E13">
        <v>20.03</v>
      </c>
      <c r="F13">
        <v>488.17</v>
      </c>
    </row>
    <row r="14" spans="1:12">
      <c r="A14" s="5">
        <v>2022</v>
      </c>
      <c r="B14" t="s">
        <v>6</v>
      </c>
      <c r="C14" t="s">
        <v>7</v>
      </c>
      <c r="D14">
        <v>2685</v>
      </c>
      <c r="E14">
        <v>17.37</v>
      </c>
      <c r="F14">
        <v>159.28</v>
      </c>
    </row>
    <row r="15" spans="1:12">
      <c r="A15" s="5">
        <v>2022</v>
      </c>
      <c r="B15" t="s">
        <v>6</v>
      </c>
      <c r="C15" t="s">
        <v>8</v>
      </c>
      <c r="D15">
        <v>1769</v>
      </c>
      <c r="E15">
        <v>13.23</v>
      </c>
      <c r="F15">
        <v>77.010000000000005</v>
      </c>
    </row>
    <row r="16" spans="1:12">
      <c r="A16" s="5">
        <v>2022</v>
      </c>
      <c r="B16" t="s">
        <v>6</v>
      </c>
      <c r="C16" t="s">
        <v>9</v>
      </c>
      <c r="D16">
        <v>7949</v>
      </c>
      <c r="E16">
        <v>27.13</v>
      </c>
      <c r="F16">
        <v>430.84</v>
      </c>
    </row>
    <row r="17" spans="1:16" ht="15" thickBot="1">
      <c r="A17" s="5">
        <v>2022</v>
      </c>
      <c r="B17" t="s">
        <v>6</v>
      </c>
      <c r="C17" t="s">
        <v>10</v>
      </c>
      <c r="D17">
        <v>3433</v>
      </c>
      <c r="E17">
        <v>37.54</v>
      </c>
      <c r="F17">
        <v>179.51</v>
      </c>
      <c r="H17" s="13"/>
      <c r="I17" s="13"/>
    </row>
    <row r="18" spans="1:16">
      <c r="A18" s="5">
        <v>2022</v>
      </c>
      <c r="B18" t="s">
        <v>6</v>
      </c>
      <c r="C18" t="s">
        <v>11</v>
      </c>
      <c r="D18">
        <v>6311</v>
      </c>
      <c r="E18">
        <v>12.33</v>
      </c>
      <c r="F18">
        <v>386.66</v>
      </c>
    </row>
    <row r="19" spans="1:16" ht="15" thickBot="1">
      <c r="A19" s="5">
        <v>2022</v>
      </c>
      <c r="B19" t="s">
        <v>6</v>
      </c>
      <c r="C19" t="s">
        <v>12</v>
      </c>
      <c r="D19">
        <v>6051</v>
      </c>
      <c r="E19">
        <v>46.61</v>
      </c>
      <c r="F19">
        <v>295.13</v>
      </c>
    </row>
    <row r="20" spans="1:16">
      <c r="A20" s="5">
        <v>2022</v>
      </c>
      <c r="B20" t="s">
        <v>6</v>
      </c>
      <c r="C20" t="s">
        <v>13</v>
      </c>
      <c r="D20">
        <v>7420</v>
      </c>
      <c r="E20">
        <v>27.69</v>
      </c>
      <c r="F20">
        <v>399.09</v>
      </c>
      <c r="H20" s="14"/>
      <c r="I20" s="14"/>
      <c r="J20" s="14"/>
      <c r="K20" s="14"/>
      <c r="L20" s="14"/>
      <c r="M20" s="14"/>
    </row>
    <row r="21" spans="1:16">
      <c r="A21" s="5">
        <v>2022</v>
      </c>
      <c r="B21" t="s">
        <v>6</v>
      </c>
      <c r="C21" t="s">
        <v>14</v>
      </c>
      <c r="D21">
        <v>2184</v>
      </c>
      <c r="E21">
        <v>19.59</v>
      </c>
      <c r="F21">
        <v>152.33000000000001</v>
      </c>
    </row>
    <row r="22" spans="1:16">
      <c r="A22" s="5">
        <v>2022</v>
      </c>
      <c r="B22" t="s">
        <v>6</v>
      </c>
      <c r="C22" t="s">
        <v>15</v>
      </c>
      <c r="D22">
        <v>5555</v>
      </c>
      <c r="E22">
        <v>13.75</v>
      </c>
      <c r="F22">
        <v>276.32</v>
      </c>
    </row>
    <row r="23" spans="1:16" ht="15" thickBot="1">
      <c r="A23" s="5">
        <v>2022</v>
      </c>
      <c r="B23" t="s">
        <v>6</v>
      </c>
      <c r="C23" t="s">
        <v>16</v>
      </c>
      <c r="D23">
        <v>4385</v>
      </c>
      <c r="E23">
        <v>17.309999999999999</v>
      </c>
      <c r="F23">
        <v>300.81</v>
      </c>
      <c r="H23" s="13"/>
      <c r="I23" s="13"/>
      <c r="J23" s="13"/>
      <c r="K23" s="13"/>
      <c r="L23" s="13"/>
      <c r="M23" s="13"/>
    </row>
    <row r="24" spans="1:16" ht="15" thickBot="1">
      <c r="A24" s="5">
        <v>2022</v>
      </c>
      <c r="B24" t="s">
        <v>6</v>
      </c>
      <c r="C24" t="s">
        <v>7</v>
      </c>
      <c r="D24">
        <v>7396</v>
      </c>
      <c r="E24">
        <v>47.38</v>
      </c>
      <c r="F24">
        <v>354.32</v>
      </c>
    </row>
    <row r="25" spans="1:16">
      <c r="A25" s="5">
        <v>2022</v>
      </c>
      <c r="B25" t="s">
        <v>6</v>
      </c>
      <c r="C25" t="s">
        <v>8</v>
      </c>
      <c r="D25">
        <v>9666</v>
      </c>
      <c r="E25">
        <v>35.53</v>
      </c>
      <c r="F25">
        <v>500.55</v>
      </c>
      <c r="H25" s="14"/>
      <c r="I25" s="14"/>
      <c r="J25" s="14"/>
      <c r="K25" s="14"/>
      <c r="L25" s="14"/>
      <c r="M25" s="14"/>
      <c r="N25" s="14"/>
      <c r="O25" s="14"/>
      <c r="P25" s="14"/>
    </row>
    <row r="26" spans="1:16">
      <c r="A26" s="5">
        <v>2022</v>
      </c>
      <c r="B26" t="s">
        <v>6</v>
      </c>
      <c r="C26" t="s">
        <v>9</v>
      </c>
      <c r="D26">
        <v>3558</v>
      </c>
      <c r="E26">
        <v>30.67</v>
      </c>
      <c r="F26">
        <v>203.91</v>
      </c>
    </row>
    <row r="27" spans="1:16" ht="15" thickBot="1">
      <c r="A27" s="5">
        <v>2022</v>
      </c>
      <c r="B27" t="s">
        <v>6</v>
      </c>
      <c r="C27" t="s">
        <v>10</v>
      </c>
      <c r="D27">
        <v>8849</v>
      </c>
      <c r="E27">
        <v>36.28</v>
      </c>
      <c r="F27">
        <v>432.61</v>
      </c>
      <c r="H27" s="13"/>
      <c r="I27" s="13"/>
      <c r="J27" s="13"/>
      <c r="K27" s="13"/>
      <c r="L27" s="13"/>
      <c r="M27" s="13"/>
      <c r="N27" s="13"/>
      <c r="O27" s="13"/>
      <c r="P27" s="13"/>
    </row>
    <row r="28" spans="1:16">
      <c r="A28" s="5">
        <v>2022</v>
      </c>
      <c r="B28" t="s">
        <v>6</v>
      </c>
      <c r="C28" t="s">
        <v>11</v>
      </c>
      <c r="D28">
        <v>3047</v>
      </c>
      <c r="E28">
        <v>27.43</v>
      </c>
      <c r="F28">
        <v>206.38</v>
      </c>
    </row>
    <row r="29" spans="1:16">
      <c r="A29" s="5">
        <v>2022</v>
      </c>
      <c r="B29" t="s">
        <v>6</v>
      </c>
      <c r="C29" t="s">
        <v>12</v>
      </c>
      <c r="D29">
        <v>3747</v>
      </c>
      <c r="E29">
        <v>39.200000000000003</v>
      </c>
      <c r="F29">
        <v>195.63</v>
      </c>
    </row>
    <row r="30" spans="1:16">
      <c r="A30" s="5">
        <v>2022</v>
      </c>
      <c r="B30" t="s">
        <v>6</v>
      </c>
      <c r="C30" t="s">
        <v>13</v>
      </c>
      <c r="D30">
        <v>1189</v>
      </c>
      <c r="E30">
        <v>11.91</v>
      </c>
      <c r="F30">
        <v>90.89</v>
      </c>
    </row>
    <row r="31" spans="1:16">
      <c r="A31" s="5">
        <v>2022</v>
      </c>
      <c r="B31" t="s">
        <v>6</v>
      </c>
      <c r="C31" t="s">
        <v>14</v>
      </c>
      <c r="D31">
        <v>3734</v>
      </c>
      <c r="E31">
        <v>32.64</v>
      </c>
      <c r="F31">
        <v>200.3</v>
      </c>
    </row>
    <row r="32" spans="1:16">
      <c r="A32" s="5">
        <v>2022</v>
      </c>
      <c r="B32" t="s">
        <v>6</v>
      </c>
      <c r="C32" t="s">
        <v>15</v>
      </c>
      <c r="D32">
        <v>4005</v>
      </c>
      <c r="E32">
        <v>16.350000000000001</v>
      </c>
      <c r="F32">
        <v>245.92</v>
      </c>
    </row>
    <row r="33" spans="1:6">
      <c r="A33" s="5">
        <v>2022</v>
      </c>
      <c r="B33" t="s">
        <v>6</v>
      </c>
      <c r="C33" t="s">
        <v>16</v>
      </c>
      <c r="D33">
        <v>5658</v>
      </c>
      <c r="E33">
        <v>14.81</v>
      </c>
      <c r="F33">
        <v>315.35000000000002</v>
      </c>
    </row>
    <row r="34" spans="1:6">
      <c r="A34" s="5">
        <v>2022</v>
      </c>
      <c r="B34" t="s">
        <v>6</v>
      </c>
      <c r="C34" t="s">
        <v>7</v>
      </c>
      <c r="D34">
        <v>2899</v>
      </c>
      <c r="E34">
        <v>23.68</v>
      </c>
      <c r="F34">
        <v>184.18</v>
      </c>
    </row>
    <row r="35" spans="1:6">
      <c r="A35" s="5">
        <v>2022</v>
      </c>
      <c r="B35" t="s">
        <v>17</v>
      </c>
      <c r="C35" t="s">
        <v>8</v>
      </c>
      <c r="D35">
        <v>8734</v>
      </c>
      <c r="E35">
        <v>13.67</v>
      </c>
      <c r="F35">
        <v>436.6</v>
      </c>
    </row>
    <row r="36" spans="1:6">
      <c r="A36" s="5">
        <v>2022</v>
      </c>
      <c r="B36" t="s">
        <v>17</v>
      </c>
      <c r="C36" t="s">
        <v>9</v>
      </c>
      <c r="D36">
        <v>2267</v>
      </c>
      <c r="E36">
        <v>13.77</v>
      </c>
      <c r="F36">
        <v>131.87</v>
      </c>
    </row>
    <row r="37" spans="1:6">
      <c r="A37" s="5">
        <v>2022</v>
      </c>
      <c r="B37" t="s">
        <v>17</v>
      </c>
      <c r="C37" t="s">
        <v>10</v>
      </c>
      <c r="D37">
        <v>2528</v>
      </c>
      <c r="E37">
        <v>22.46</v>
      </c>
      <c r="F37">
        <v>106.68</v>
      </c>
    </row>
    <row r="38" spans="1:6">
      <c r="A38" s="5">
        <v>2022</v>
      </c>
      <c r="B38" t="s">
        <v>17</v>
      </c>
      <c r="C38" t="s">
        <v>11</v>
      </c>
      <c r="D38">
        <v>4556</v>
      </c>
      <c r="E38">
        <v>49.18</v>
      </c>
      <c r="F38">
        <v>258.72000000000003</v>
      </c>
    </row>
    <row r="39" spans="1:6">
      <c r="A39" s="5">
        <v>2022</v>
      </c>
      <c r="B39" t="s">
        <v>17</v>
      </c>
      <c r="C39" t="s">
        <v>12</v>
      </c>
      <c r="D39">
        <v>4890</v>
      </c>
      <c r="E39">
        <v>17.010000000000002</v>
      </c>
      <c r="F39">
        <v>313.76</v>
      </c>
    </row>
    <row r="40" spans="1:6">
      <c r="A40" s="5">
        <v>2022</v>
      </c>
      <c r="B40" t="s">
        <v>17</v>
      </c>
      <c r="C40" t="s">
        <v>13</v>
      </c>
      <c r="D40">
        <v>9838</v>
      </c>
      <c r="E40">
        <v>10.69</v>
      </c>
      <c r="F40">
        <v>541.61</v>
      </c>
    </row>
    <row r="41" spans="1:6">
      <c r="A41" s="5">
        <v>2022</v>
      </c>
      <c r="B41" t="s">
        <v>17</v>
      </c>
      <c r="C41" t="s">
        <v>14</v>
      </c>
      <c r="D41">
        <v>6393</v>
      </c>
      <c r="E41">
        <v>40.53</v>
      </c>
      <c r="F41">
        <v>300.76</v>
      </c>
    </row>
    <row r="42" spans="1:6">
      <c r="A42" s="5">
        <v>2022</v>
      </c>
      <c r="B42" t="s">
        <v>17</v>
      </c>
      <c r="C42" t="s">
        <v>15</v>
      </c>
      <c r="D42">
        <v>9792</v>
      </c>
      <c r="E42">
        <v>42.28</v>
      </c>
      <c r="F42">
        <v>536.66999999999996</v>
      </c>
    </row>
    <row r="43" spans="1:6">
      <c r="A43" s="5">
        <v>2022</v>
      </c>
      <c r="B43" t="s">
        <v>17</v>
      </c>
      <c r="C43" t="s">
        <v>16</v>
      </c>
      <c r="D43">
        <v>9433</v>
      </c>
      <c r="E43">
        <v>23.85</v>
      </c>
      <c r="F43">
        <v>480.94</v>
      </c>
    </row>
    <row r="44" spans="1:6">
      <c r="A44" s="5">
        <v>2022</v>
      </c>
      <c r="B44" t="s">
        <v>17</v>
      </c>
      <c r="C44" t="s">
        <v>7</v>
      </c>
      <c r="D44">
        <v>8513</v>
      </c>
      <c r="E44">
        <v>28.59</v>
      </c>
      <c r="F44">
        <v>437.08</v>
      </c>
    </row>
    <row r="45" spans="1:6">
      <c r="A45" s="5">
        <v>2022</v>
      </c>
      <c r="B45" t="s">
        <v>17</v>
      </c>
      <c r="C45" t="s">
        <v>8</v>
      </c>
      <c r="D45">
        <v>3612</v>
      </c>
      <c r="E45">
        <v>35.99</v>
      </c>
      <c r="F45">
        <v>190.6</v>
      </c>
    </row>
    <row r="46" spans="1:6">
      <c r="A46" s="5">
        <v>2022</v>
      </c>
      <c r="B46" t="s">
        <v>17</v>
      </c>
      <c r="C46" t="s">
        <v>9</v>
      </c>
      <c r="D46">
        <v>8041</v>
      </c>
      <c r="E46">
        <v>11.92</v>
      </c>
      <c r="F46">
        <v>446.77</v>
      </c>
    </row>
    <row r="47" spans="1:6">
      <c r="A47" s="5">
        <v>2022</v>
      </c>
      <c r="B47" t="s">
        <v>17</v>
      </c>
      <c r="C47" t="s">
        <v>10</v>
      </c>
      <c r="D47">
        <v>7235</v>
      </c>
      <c r="E47">
        <v>47.97</v>
      </c>
      <c r="F47">
        <v>367.07</v>
      </c>
    </row>
    <row r="48" spans="1:6">
      <c r="A48" s="5">
        <v>2022</v>
      </c>
      <c r="B48" t="s">
        <v>17</v>
      </c>
      <c r="C48" t="s">
        <v>11</v>
      </c>
      <c r="D48">
        <v>6486</v>
      </c>
      <c r="E48">
        <v>45.47</v>
      </c>
      <c r="F48">
        <v>333.42</v>
      </c>
    </row>
    <row r="49" spans="1:6">
      <c r="A49" s="5">
        <v>2022</v>
      </c>
      <c r="B49" t="s">
        <v>17</v>
      </c>
      <c r="C49" t="s">
        <v>12</v>
      </c>
      <c r="D49">
        <v>8099</v>
      </c>
      <c r="E49">
        <v>20.440000000000001</v>
      </c>
      <c r="F49">
        <v>427.54</v>
      </c>
    </row>
    <row r="50" spans="1:6">
      <c r="A50" s="5">
        <v>2022</v>
      </c>
      <c r="B50" t="s">
        <v>17</v>
      </c>
      <c r="C50" t="s">
        <v>13</v>
      </c>
      <c r="D50">
        <v>1775</v>
      </c>
      <c r="E50">
        <v>10.61</v>
      </c>
      <c r="F50">
        <v>139.38</v>
      </c>
    </row>
    <row r="51" spans="1:6">
      <c r="A51" s="5">
        <v>2022</v>
      </c>
      <c r="B51" t="s">
        <v>17</v>
      </c>
      <c r="C51" t="s">
        <v>14</v>
      </c>
      <c r="D51">
        <v>9226</v>
      </c>
      <c r="E51">
        <v>47.34</v>
      </c>
      <c r="F51">
        <v>450.71</v>
      </c>
    </row>
    <row r="52" spans="1:6">
      <c r="A52" s="5">
        <v>2022</v>
      </c>
      <c r="B52" t="s">
        <v>17</v>
      </c>
      <c r="C52" t="s">
        <v>15</v>
      </c>
      <c r="D52">
        <v>4152</v>
      </c>
      <c r="E52">
        <v>30.04</v>
      </c>
      <c r="F52">
        <v>233.14</v>
      </c>
    </row>
    <row r="53" spans="1:6">
      <c r="A53" s="5">
        <v>2022</v>
      </c>
      <c r="B53" t="s">
        <v>17</v>
      </c>
      <c r="C53" t="s">
        <v>16</v>
      </c>
      <c r="D53">
        <v>2585</v>
      </c>
      <c r="E53">
        <v>31.58</v>
      </c>
      <c r="F53">
        <v>151.31</v>
      </c>
    </row>
    <row r="54" spans="1:6">
      <c r="A54" s="5">
        <v>2022</v>
      </c>
      <c r="B54" t="s">
        <v>17</v>
      </c>
      <c r="C54" t="s">
        <v>7</v>
      </c>
      <c r="D54">
        <v>4943</v>
      </c>
      <c r="E54">
        <v>37.36</v>
      </c>
      <c r="F54">
        <v>267.58</v>
      </c>
    </row>
    <row r="55" spans="1:6">
      <c r="A55" s="5">
        <v>2022</v>
      </c>
      <c r="B55" t="s">
        <v>17</v>
      </c>
      <c r="C55" t="s">
        <v>8</v>
      </c>
      <c r="D55">
        <v>8555</v>
      </c>
      <c r="E55">
        <v>34.630000000000003</v>
      </c>
      <c r="F55">
        <v>448.95</v>
      </c>
    </row>
    <row r="56" spans="1:6">
      <c r="A56" s="5">
        <v>2022</v>
      </c>
      <c r="B56" t="s">
        <v>17</v>
      </c>
      <c r="C56" t="s">
        <v>9</v>
      </c>
      <c r="D56">
        <v>4073</v>
      </c>
      <c r="E56">
        <v>47.76</v>
      </c>
      <c r="F56">
        <v>187.49</v>
      </c>
    </row>
    <row r="57" spans="1:6">
      <c r="A57" s="5">
        <v>2022</v>
      </c>
      <c r="B57" t="s">
        <v>17</v>
      </c>
      <c r="C57" t="s">
        <v>10</v>
      </c>
      <c r="D57">
        <v>2021</v>
      </c>
      <c r="E57">
        <v>47.77</v>
      </c>
      <c r="F57">
        <v>102.9</v>
      </c>
    </row>
    <row r="58" spans="1:6">
      <c r="A58" s="5">
        <v>2022</v>
      </c>
      <c r="B58" t="s">
        <v>17</v>
      </c>
      <c r="C58" t="s">
        <v>11</v>
      </c>
      <c r="D58">
        <v>4843</v>
      </c>
      <c r="E58">
        <v>44.69</v>
      </c>
      <c r="F58">
        <v>251.59</v>
      </c>
    </row>
    <row r="59" spans="1:6">
      <c r="A59" s="5">
        <v>2022</v>
      </c>
      <c r="B59" t="s">
        <v>17</v>
      </c>
      <c r="C59" t="s">
        <v>12</v>
      </c>
      <c r="D59">
        <v>8989</v>
      </c>
      <c r="E59">
        <v>35.46</v>
      </c>
      <c r="F59">
        <v>431.08</v>
      </c>
    </row>
    <row r="60" spans="1:6">
      <c r="A60" s="5">
        <v>2022</v>
      </c>
      <c r="B60" t="s">
        <v>17</v>
      </c>
      <c r="C60" t="s">
        <v>13</v>
      </c>
      <c r="D60">
        <v>7873</v>
      </c>
      <c r="E60">
        <v>42.04</v>
      </c>
      <c r="F60">
        <v>387.72</v>
      </c>
    </row>
    <row r="61" spans="1:6">
      <c r="A61" s="5">
        <v>2022</v>
      </c>
      <c r="B61" t="s">
        <v>17</v>
      </c>
      <c r="C61" t="s">
        <v>14</v>
      </c>
      <c r="D61">
        <v>6675</v>
      </c>
      <c r="E61">
        <v>37.090000000000003</v>
      </c>
      <c r="F61">
        <v>351.41</v>
      </c>
    </row>
    <row r="62" spans="1:6">
      <c r="A62" s="5">
        <v>2022</v>
      </c>
      <c r="B62" t="s">
        <v>17</v>
      </c>
      <c r="C62" t="s">
        <v>15</v>
      </c>
      <c r="D62">
        <v>1161</v>
      </c>
      <c r="E62">
        <v>32.93</v>
      </c>
      <c r="F62">
        <v>102.71</v>
      </c>
    </row>
    <row r="63" spans="1:6">
      <c r="A63" s="5">
        <v>2022</v>
      </c>
      <c r="B63" t="s">
        <v>18</v>
      </c>
      <c r="C63" t="s">
        <v>16</v>
      </c>
      <c r="D63">
        <v>5297</v>
      </c>
      <c r="E63">
        <v>15.14</v>
      </c>
      <c r="F63">
        <v>313.18</v>
      </c>
    </row>
    <row r="64" spans="1:6">
      <c r="A64" s="5">
        <v>2022</v>
      </c>
      <c r="B64" t="s">
        <v>18</v>
      </c>
      <c r="C64" t="s">
        <v>7</v>
      </c>
      <c r="D64">
        <v>1995</v>
      </c>
      <c r="E64">
        <v>42.45</v>
      </c>
      <c r="F64">
        <v>134.26</v>
      </c>
    </row>
    <row r="65" spans="1:6">
      <c r="A65" s="5">
        <v>2022</v>
      </c>
      <c r="B65" t="s">
        <v>18</v>
      </c>
      <c r="C65" t="s">
        <v>8</v>
      </c>
      <c r="D65">
        <v>8629</v>
      </c>
      <c r="E65">
        <v>42.83</v>
      </c>
      <c r="F65">
        <v>422.09</v>
      </c>
    </row>
    <row r="66" spans="1:6">
      <c r="A66" s="5">
        <v>2022</v>
      </c>
      <c r="B66" t="s">
        <v>18</v>
      </c>
      <c r="C66" t="s">
        <v>9</v>
      </c>
      <c r="D66">
        <v>2016</v>
      </c>
      <c r="E66">
        <v>35.04</v>
      </c>
      <c r="F66">
        <v>113.76</v>
      </c>
    </row>
    <row r="67" spans="1:6">
      <c r="A67" s="5">
        <v>2022</v>
      </c>
      <c r="B67" t="s">
        <v>18</v>
      </c>
      <c r="C67" t="s">
        <v>10</v>
      </c>
      <c r="D67">
        <v>8869</v>
      </c>
      <c r="E67">
        <v>42.82</v>
      </c>
      <c r="F67">
        <v>458.18</v>
      </c>
    </row>
    <row r="68" spans="1:6">
      <c r="A68" s="5">
        <v>2022</v>
      </c>
      <c r="B68" t="s">
        <v>18</v>
      </c>
      <c r="C68" t="s">
        <v>11</v>
      </c>
      <c r="D68">
        <v>7439</v>
      </c>
      <c r="E68">
        <v>36.06</v>
      </c>
      <c r="F68">
        <v>332.15</v>
      </c>
    </row>
    <row r="69" spans="1:6">
      <c r="A69" s="5">
        <v>2022</v>
      </c>
      <c r="B69" t="s">
        <v>18</v>
      </c>
      <c r="C69" t="s">
        <v>12</v>
      </c>
      <c r="D69">
        <v>8892</v>
      </c>
      <c r="E69">
        <v>18.27</v>
      </c>
      <c r="F69">
        <v>502.9</v>
      </c>
    </row>
    <row r="70" spans="1:6">
      <c r="A70" s="5">
        <v>2022</v>
      </c>
      <c r="B70" t="s">
        <v>18</v>
      </c>
      <c r="C70" t="s">
        <v>13</v>
      </c>
      <c r="D70">
        <v>7863</v>
      </c>
      <c r="E70">
        <v>20.96</v>
      </c>
      <c r="F70">
        <v>380.78</v>
      </c>
    </row>
    <row r="71" spans="1:6">
      <c r="A71" s="5">
        <v>2022</v>
      </c>
      <c r="B71" t="s">
        <v>18</v>
      </c>
      <c r="C71" t="s">
        <v>14</v>
      </c>
      <c r="D71">
        <v>8916</v>
      </c>
      <c r="E71">
        <v>18.579999999999998</v>
      </c>
      <c r="F71">
        <v>493.44</v>
      </c>
    </row>
    <row r="72" spans="1:6">
      <c r="A72" s="5">
        <v>2022</v>
      </c>
      <c r="B72" t="s">
        <v>18</v>
      </c>
      <c r="C72" t="s">
        <v>15</v>
      </c>
      <c r="D72">
        <v>9529</v>
      </c>
      <c r="E72">
        <v>25.09</v>
      </c>
      <c r="F72">
        <v>510.08</v>
      </c>
    </row>
    <row r="73" spans="1:6">
      <c r="A73" s="5">
        <v>2022</v>
      </c>
      <c r="B73" t="s">
        <v>18</v>
      </c>
      <c r="C73" t="s">
        <v>16</v>
      </c>
      <c r="D73">
        <v>1878</v>
      </c>
      <c r="E73">
        <v>11.56</v>
      </c>
      <c r="F73">
        <v>83.24</v>
      </c>
    </row>
    <row r="74" spans="1:6">
      <c r="A74" s="5">
        <v>2022</v>
      </c>
      <c r="B74" t="s">
        <v>18</v>
      </c>
      <c r="C74" t="s">
        <v>7</v>
      </c>
      <c r="D74">
        <v>5887</v>
      </c>
      <c r="E74">
        <v>34.729999999999997</v>
      </c>
      <c r="F74">
        <v>256.89</v>
      </c>
    </row>
    <row r="75" spans="1:6">
      <c r="A75" s="5">
        <v>2022</v>
      </c>
      <c r="B75" t="s">
        <v>18</v>
      </c>
      <c r="C75" t="s">
        <v>8</v>
      </c>
      <c r="D75">
        <v>5859</v>
      </c>
      <c r="E75">
        <v>23.46</v>
      </c>
      <c r="F75">
        <v>343.45</v>
      </c>
    </row>
    <row r="76" spans="1:6">
      <c r="A76" s="5">
        <v>2022</v>
      </c>
      <c r="B76" t="s">
        <v>18</v>
      </c>
      <c r="C76" t="s">
        <v>9</v>
      </c>
      <c r="D76">
        <v>7331</v>
      </c>
      <c r="E76">
        <v>36.229999999999997</v>
      </c>
      <c r="F76">
        <v>397.37</v>
      </c>
    </row>
    <row r="77" spans="1:6">
      <c r="A77" s="5">
        <v>2022</v>
      </c>
      <c r="B77" t="s">
        <v>18</v>
      </c>
      <c r="C77" t="s">
        <v>10</v>
      </c>
      <c r="D77">
        <v>9571</v>
      </c>
      <c r="E77">
        <v>25.42</v>
      </c>
      <c r="F77">
        <v>480.43</v>
      </c>
    </row>
    <row r="78" spans="1:6">
      <c r="A78" s="5">
        <v>2022</v>
      </c>
      <c r="B78" t="s">
        <v>18</v>
      </c>
      <c r="C78" t="s">
        <v>11</v>
      </c>
      <c r="D78">
        <v>9684</v>
      </c>
      <c r="E78">
        <v>37.26</v>
      </c>
      <c r="F78">
        <v>471.84</v>
      </c>
    </row>
    <row r="79" spans="1:6">
      <c r="A79" s="5">
        <v>2022</v>
      </c>
      <c r="B79" t="s">
        <v>18</v>
      </c>
      <c r="C79" t="s">
        <v>12</v>
      </c>
      <c r="D79">
        <v>8208</v>
      </c>
      <c r="E79">
        <v>23.62</v>
      </c>
      <c r="F79">
        <v>442.3</v>
      </c>
    </row>
    <row r="80" spans="1:6">
      <c r="A80" s="5">
        <v>2022</v>
      </c>
      <c r="B80" t="s">
        <v>18</v>
      </c>
      <c r="C80" t="s">
        <v>13</v>
      </c>
      <c r="D80">
        <v>6276</v>
      </c>
      <c r="E80">
        <v>20.43</v>
      </c>
      <c r="F80">
        <v>339.03</v>
      </c>
    </row>
    <row r="81" spans="1:6">
      <c r="A81" s="5">
        <v>2022</v>
      </c>
      <c r="B81" t="s">
        <v>18</v>
      </c>
      <c r="C81" t="s">
        <v>14</v>
      </c>
      <c r="D81">
        <v>3062</v>
      </c>
      <c r="E81">
        <v>29.84</v>
      </c>
      <c r="F81">
        <v>188.38</v>
      </c>
    </row>
    <row r="82" spans="1:6">
      <c r="A82" s="5">
        <v>2022</v>
      </c>
      <c r="B82" t="s">
        <v>18</v>
      </c>
      <c r="C82" t="s">
        <v>15</v>
      </c>
      <c r="D82">
        <v>1064</v>
      </c>
      <c r="E82">
        <v>37.72</v>
      </c>
      <c r="F82">
        <v>67.53</v>
      </c>
    </row>
    <row r="83" spans="1:6">
      <c r="A83" s="5">
        <v>2022</v>
      </c>
      <c r="B83" t="s">
        <v>18</v>
      </c>
      <c r="C83" t="s">
        <v>16</v>
      </c>
      <c r="D83">
        <v>9006</v>
      </c>
      <c r="E83">
        <v>23.93</v>
      </c>
      <c r="F83">
        <v>503.24</v>
      </c>
    </row>
    <row r="84" spans="1:6">
      <c r="A84" s="5">
        <v>2022</v>
      </c>
      <c r="B84" t="s">
        <v>18</v>
      </c>
      <c r="C84" t="s">
        <v>7</v>
      </c>
      <c r="D84">
        <v>3568</v>
      </c>
      <c r="E84">
        <v>47.47</v>
      </c>
      <c r="F84">
        <v>190.84</v>
      </c>
    </row>
    <row r="85" spans="1:6">
      <c r="A85" s="5">
        <v>2022</v>
      </c>
      <c r="B85" t="s">
        <v>18</v>
      </c>
      <c r="C85" t="s">
        <v>8</v>
      </c>
      <c r="D85">
        <v>6463</v>
      </c>
      <c r="E85">
        <v>11.57</v>
      </c>
      <c r="F85">
        <v>373.68</v>
      </c>
    </row>
    <row r="86" spans="1:6">
      <c r="A86" s="5">
        <v>2022</v>
      </c>
      <c r="B86" t="s">
        <v>18</v>
      </c>
      <c r="C86" t="s">
        <v>9</v>
      </c>
      <c r="D86">
        <v>3027</v>
      </c>
      <c r="E86">
        <v>26.72</v>
      </c>
      <c r="F86">
        <v>162.25</v>
      </c>
    </row>
    <row r="87" spans="1:6">
      <c r="A87" s="5">
        <v>2022</v>
      </c>
      <c r="B87" t="s">
        <v>18</v>
      </c>
      <c r="C87" t="s">
        <v>10</v>
      </c>
      <c r="D87">
        <v>3695</v>
      </c>
      <c r="E87">
        <v>48.7</v>
      </c>
      <c r="F87">
        <v>167.8</v>
      </c>
    </row>
    <row r="88" spans="1:6">
      <c r="A88" s="5">
        <v>2022</v>
      </c>
      <c r="B88" t="s">
        <v>18</v>
      </c>
      <c r="C88" t="s">
        <v>11</v>
      </c>
      <c r="D88">
        <v>6258</v>
      </c>
      <c r="E88">
        <v>31.92</v>
      </c>
      <c r="F88">
        <v>323.56</v>
      </c>
    </row>
    <row r="89" spans="1:6">
      <c r="A89" s="5">
        <v>2022</v>
      </c>
      <c r="B89" t="s">
        <v>18</v>
      </c>
      <c r="C89" t="s">
        <v>12</v>
      </c>
      <c r="D89">
        <v>6618</v>
      </c>
      <c r="E89">
        <v>26.94</v>
      </c>
      <c r="F89">
        <v>385.39</v>
      </c>
    </row>
    <row r="90" spans="1:6">
      <c r="A90" s="5">
        <v>2022</v>
      </c>
      <c r="B90" t="s">
        <v>18</v>
      </c>
      <c r="C90" t="s">
        <v>13</v>
      </c>
      <c r="D90">
        <v>7736</v>
      </c>
      <c r="E90">
        <v>32.74</v>
      </c>
      <c r="F90">
        <v>389.39</v>
      </c>
    </row>
    <row r="91" spans="1:6">
      <c r="A91" s="5">
        <v>2022</v>
      </c>
      <c r="B91" t="s">
        <v>18</v>
      </c>
      <c r="C91" t="s">
        <v>14</v>
      </c>
      <c r="D91">
        <v>1391</v>
      </c>
      <c r="E91">
        <v>33.04</v>
      </c>
      <c r="F91">
        <v>85.12</v>
      </c>
    </row>
    <row r="92" spans="1:6">
      <c r="A92" s="5">
        <v>2022</v>
      </c>
      <c r="B92" t="s">
        <v>18</v>
      </c>
      <c r="C92" t="s">
        <v>15</v>
      </c>
      <c r="D92">
        <v>6892</v>
      </c>
      <c r="E92">
        <v>39.270000000000003</v>
      </c>
      <c r="F92">
        <v>302.58</v>
      </c>
    </row>
    <row r="93" spans="1:6">
      <c r="A93" s="5">
        <v>2022</v>
      </c>
      <c r="B93" t="s">
        <v>18</v>
      </c>
      <c r="C93" t="s">
        <v>16</v>
      </c>
      <c r="D93">
        <v>4561</v>
      </c>
      <c r="E93">
        <v>15.11</v>
      </c>
      <c r="F93">
        <v>273.44</v>
      </c>
    </row>
    <row r="94" spans="1:6">
      <c r="A94" s="5">
        <v>2022</v>
      </c>
      <c r="B94" t="s">
        <v>19</v>
      </c>
      <c r="C94" t="s">
        <v>7</v>
      </c>
      <c r="D94">
        <v>7184</v>
      </c>
      <c r="E94">
        <v>20</v>
      </c>
      <c r="F94">
        <v>430.34</v>
      </c>
    </row>
    <row r="95" spans="1:6">
      <c r="A95" s="5">
        <v>2022</v>
      </c>
      <c r="B95" t="s">
        <v>19</v>
      </c>
      <c r="C95" t="s">
        <v>8</v>
      </c>
      <c r="D95">
        <v>4099</v>
      </c>
      <c r="E95">
        <v>33.22</v>
      </c>
      <c r="F95">
        <v>196.41</v>
      </c>
    </row>
    <row r="96" spans="1:6">
      <c r="A96" s="5">
        <v>2022</v>
      </c>
      <c r="B96" t="s">
        <v>19</v>
      </c>
      <c r="C96" t="s">
        <v>9</v>
      </c>
      <c r="D96">
        <v>7278</v>
      </c>
      <c r="E96">
        <v>44.68</v>
      </c>
      <c r="F96">
        <v>423.77</v>
      </c>
    </row>
    <row r="97" spans="1:6">
      <c r="A97" s="5">
        <v>2022</v>
      </c>
      <c r="B97" t="s">
        <v>19</v>
      </c>
      <c r="C97" t="s">
        <v>10</v>
      </c>
      <c r="D97">
        <v>9392</v>
      </c>
      <c r="E97">
        <v>32.47</v>
      </c>
      <c r="F97">
        <v>484.28</v>
      </c>
    </row>
    <row r="98" spans="1:6">
      <c r="A98" s="5">
        <v>2022</v>
      </c>
      <c r="B98" t="s">
        <v>19</v>
      </c>
      <c r="C98" t="s">
        <v>11</v>
      </c>
      <c r="D98">
        <v>4104</v>
      </c>
      <c r="E98">
        <v>19.54</v>
      </c>
      <c r="F98">
        <v>180.29</v>
      </c>
    </row>
    <row r="99" spans="1:6">
      <c r="A99" s="5">
        <v>2022</v>
      </c>
      <c r="B99" t="s">
        <v>19</v>
      </c>
      <c r="C99" t="s">
        <v>12</v>
      </c>
      <c r="D99">
        <v>8215</v>
      </c>
      <c r="E99">
        <v>37.19</v>
      </c>
      <c r="F99">
        <v>408.41</v>
      </c>
    </row>
    <row r="100" spans="1:6">
      <c r="A100" s="5">
        <v>2022</v>
      </c>
      <c r="B100" t="s">
        <v>19</v>
      </c>
      <c r="C100" t="s">
        <v>13</v>
      </c>
      <c r="D100">
        <v>3454</v>
      </c>
      <c r="E100">
        <v>39.6</v>
      </c>
      <c r="F100">
        <v>201.79</v>
      </c>
    </row>
    <row r="101" spans="1:6">
      <c r="A101" s="5">
        <v>2022</v>
      </c>
      <c r="B101" t="s">
        <v>19</v>
      </c>
      <c r="C101" t="s">
        <v>14</v>
      </c>
      <c r="D101">
        <v>9996</v>
      </c>
      <c r="E101">
        <v>19.53</v>
      </c>
      <c r="F101">
        <v>566.35</v>
      </c>
    </row>
    <row r="102" spans="1:6">
      <c r="A102" s="5">
        <v>2022</v>
      </c>
      <c r="B102" t="s">
        <v>19</v>
      </c>
      <c r="C102" t="s">
        <v>15</v>
      </c>
      <c r="D102">
        <v>3731</v>
      </c>
      <c r="E102">
        <v>25.11</v>
      </c>
      <c r="F102">
        <v>220.78</v>
      </c>
    </row>
    <row r="103" spans="1:6">
      <c r="A103" s="5">
        <v>2022</v>
      </c>
      <c r="B103" t="s">
        <v>19</v>
      </c>
      <c r="C103" t="s">
        <v>16</v>
      </c>
      <c r="D103">
        <v>9154</v>
      </c>
      <c r="E103">
        <v>31.37</v>
      </c>
      <c r="F103">
        <v>501.4</v>
      </c>
    </row>
    <row r="104" spans="1:6">
      <c r="A104" s="5">
        <v>2022</v>
      </c>
      <c r="B104" t="s">
        <v>19</v>
      </c>
      <c r="C104" t="s">
        <v>7</v>
      </c>
      <c r="D104">
        <v>6056</v>
      </c>
      <c r="E104">
        <v>29.86</v>
      </c>
      <c r="F104">
        <v>293.41000000000003</v>
      </c>
    </row>
    <row r="105" spans="1:6">
      <c r="A105" s="5">
        <v>2022</v>
      </c>
      <c r="B105" t="s">
        <v>19</v>
      </c>
      <c r="C105" t="s">
        <v>8</v>
      </c>
      <c r="D105">
        <v>9110</v>
      </c>
      <c r="E105">
        <v>25.58</v>
      </c>
      <c r="F105">
        <v>461.19</v>
      </c>
    </row>
    <row r="106" spans="1:6">
      <c r="A106" s="5">
        <v>2022</v>
      </c>
      <c r="B106" t="s">
        <v>19</v>
      </c>
      <c r="C106" t="s">
        <v>9</v>
      </c>
      <c r="D106">
        <v>4840</v>
      </c>
      <c r="E106">
        <v>21.91</v>
      </c>
      <c r="F106">
        <v>232.12</v>
      </c>
    </row>
    <row r="107" spans="1:6">
      <c r="A107" s="5">
        <v>2022</v>
      </c>
      <c r="B107" t="s">
        <v>19</v>
      </c>
      <c r="C107" t="s">
        <v>10</v>
      </c>
      <c r="D107">
        <v>2028</v>
      </c>
      <c r="E107">
        <v>14</v>
      </c>
      <c r="F107">
        <v>122.5</v>
      </c>
    </row>
    <row r="108" spans="1:6">
      <c r="A108" s="5">
        <v>2022</v>
      </c>
      <c r="B108" t="s">
        <v>19</v>
      </c>
      <c r="C108" t="s">
        <v>11</v>
      </c>
      <c r="D108">
        <v>8385</v>
      </c>
      <c r="E108">
        <v>12.14</v>
      </c>
      <c r="F108">
        <v>469.92</v>
      </c>
    </row>
    <row r="109" spans="1:6">
      <c r="A109" s="5">
        <v>2022</v>
      </c>
      <c r="B109" t="s">
        <v>19</v>
      </c>
      <c r="C109" t="s">
        <v>12</v>
      </c>
      <c r="D109">
        <v>1502</v>
      </c>
      <c r="E109">
        <v>48.34</v>
      </c>
      <c r="F109">
        <v>71.34</v>
      </c>
    </row>
    <row r="110" spans="1:6">
      <c r="A110" s="5">
        <v>2022</v>
      </c>
      <c r="B110" t="s">
        <v>19</v>
      </c>
      <c r="C110" t="s">
        <v>13</v>
      </c>
      <c r="D110">
        <v>7910</v>
      </c>
      <c r="E110">
        <v>43.89</v>
      </c>
      <c r="F110">
        <v>410.19</v>
      </c>
    </row>
    <row r="111" spans="1:6">
      <c r="A111" s="5">
        <v>2022</v>
      </c>
      <c r="B111" t="s">
        <v>19</v>
      </c>
      <c r="C111" t="s">
        <v>14</v>
      </c>
      <c r="D111">
        <v>7938</v>
      </c>
      <c r="E111">
        <v>24.2</v>
      </c>
      <c r="F111">
        <v>399.13</v>
      </c>
    </row>
    <row r="112" spans="1:6">
      <c r="A112" s="5">
        <v>2022</v>
      </c>
      <c r="B112" t="s">
        <v>19</v>
      </c>
      <c r="C112" t="s">
        <v>15</v>
      </c>
      <c r="D112">
        <v>5488</v>
      </c>
      <c r="E112">
        <v>48.27</v>
      </c>
      <c r="F112">
        <v>248.96</v>
      </c>
    </row>
    <row r="113" spans="1:6">
      <c r="A113" s="5">
        <v>2022</v>
      </c>
      <c r="B113" t="s">
        <v>19</v>
      </c>
      <c r="C113" t="s">
        <v>16</v>
      </c>
      <c r="D113">
        <v>1206</v>
      </c>
      <c r="E113">
        <v>37.07</v>
      </c>
      <c r="F113">
        <v>69.91</v>
      </c>
    </row>
    <row r="114" spans="1:6">
      <c r="A114" s="5">
        <v>2022</v>
      </c>
      <c r="B114" t="s">
        <v>19</v>
      </c>
      <c r="C114" t="s">
        <v>7</v>
      </c>
      <c r="D114">
        <v>6134</v>
      </c>
      <c r="E114">
        <v>29.3</v>
      </c>
      <c r="F114">
        <v>309.49</v>
      </c>
    </row>
    <row r="115" spans="1:6">
      <c r="A115" s="5">
        <v>2022</v>
      </c>
      <c r="B115" t="s">
        <v>19</v>
      </c>
      <c r="C115" t="s">
        <v>8</v>
      </c>
      <c r="D115">
        <v>6977</v>
      </c>
      <c r="E115">
        <v>29.72</v>
      </c>
      <c r="F115">
        <v>389.22</v>
      </c>
    </row>
    <row r="116" spans="1:6">
      <c r="A116" s="5">
        <v>2022</v>
      </c>
      <c r="B116" t="s">
        <v>19</v>
      </c>
      <c r="C116" t="s">
        <v>9</v>
      </c>
      <c r="D116">
        <v>8721</v>
      </c>
      <c r="E116">
        <v>13.33</v>
      </c>
      <c r="F116">
        <v>457.5</v>
      </c>
    </row>
    <row r="117" spans="1:6">
      <c r="A117" s="5">
        <v>2022</v>
      </c>
      <c r="B117" t="s">
        <v>19</v>
      </c>
      <c r="C117" t="s">
        <v>10</v>
      </c>
      <c r="D117">
        <v>8035</v>
      </c>
      <c r="E117">
        <v>13.67</v>
      </c>
      <c r="F117">
        <v>425.44</v>
      </c>
    </row>
    <row r="118" spans="1:6">
      <c r="A118" s="5">
        <v>2022</v>
      </c>
      <c r="B118" t="s">
        <v>19</v>
      </c>
      <c r="C118" t="s">
        <v>11</v>
      </c>
      <c r="D118">
        <v>2484</v>
      </c>
      <c r="E118">
        <v>34.1</v>
      </c>
      <c r="F118">
        <v>141.66</v>
      </c>
    </row>
    <row r="119" spans="1:6">
      <c r="A119" s="5">
        <v>2022</v>
      </c>
      <c r="B119" t="s">
        <v>19</v>
      </c>
      <c r="C119" t="s">
        <v>12</v>
      </c>
      <c r="D119">
        <v>8858</v>
      </c>
      <c r="E119">
        <v>32.15</v>
      </c>
      <c r="F119">
        <v>446.54</v>
      </c>
    </row>
    <row r="120" spans="1:6">
      <c r="A120" s="5">
        <v>2022</v>
      </c>
      <c r="B120" t="s">
        <v>19</v>
      </c>
      <c r="C120" t="s">
        <v>13</v>
      </c>
      <c r="D120">
        <v>1863</v>
      </c>
      <c r="E120">
        <v>18.510000000000002</v>
      </c>
      <c r="F120">
        <v>96.24</v>
      </c>
    </row>
    <row r="121" spans="1:6">
      <c r="A121" s="5">
        <v>2022</v>
      </c>
      <c r="B121" t="s">
        <v>19</v>
      </c>
      <c r="C121" t="s">
        <v>14</v>
      </c>
      <c r="D121">
        <v>3790</v>
      </c>
      <c r="E121">
        <v>47.85</v>
      </c>
      <c r="F121">
        <v>160.1</v>
      </c>
    </row>
    <row r="122" spans="1:6">
      <c r="A122" s="5">
        <v>2022</v>
      </c>
      <c r="B122" t="s">
        <v>19</v>
      </c>
      <c r="C122" t="s">
        <v>15</v>
      </c>
      <c r="D122">
        <v>8408</v>
      </c>
      <c r="E122">
        <v>41.25</v>
      </c>
      <c r="F122">
        <v>431.65</v>
      </c>
    </row>
    <row r="123" spans="1:6">
      <c r="A123" s="5">
        <v>2022</v>
      </c>
      <c r="B123" t="s">
        <v>19</v>
      </c>
      <c r="C123" t="s">
        <v>16</v>
      </c>
      <c r="D123">
        <v>9755</v>
      </c>
      <c r="E123">
        <v>14.54</v>
      </c>
      <c r="F123">
        <v>493.13</v>
      </c>
    </row>
    <row r="124" spans="1:6">
      <c r="A124" s="5">
        <v>2022</v>
      </c>
      <c r="B124" t="s">
        <v>20</v>
      </c>
      <c r="C124" t="s">
        <v>7</v>
      </c>
      <c r="D124">
        <v>6116</v>
      </c>
      <c r="E124">
        <v>47.24</v>
      </c>
      <c r="F124">
        <v>327.06</v>
      </c>
    </row>
    <row r="125" spans="1:6">
      <c r="A125" s="5">
        <v>2022</v>
      </c>
      <c r="B125" t="s">
        <v>20</v>
      </c>
      <c r="C125" t="s">
        <v>8</v>
      </c>
      <c r="D125">
        <v>7019</v>
      </c>
      <c r="E125">
        <v>48.97</v>
      </c>
      <c r="F125">
        <v>328.38</v>
      </c>
    </row>
    <row r="126" spans="1:6">
      <c r="A126" s="5">
        <v>2022</v>
      </c>
      <c r="B126" t="s">
        <v>20</v>
      </c>
      <c r="C126" t="s">
        <v>9</v>
      </c>
      <c r="D126">
        <v>2757</v>
      </c>
      <c r="E126">
        <v>49.84</v>
      </c>
      <c r="F126">
        <v>140.37</v>
      </c>
    </row>
    <row r="127" spans="1:6">
      <c r="A127" s="5">
        <v>2022</v>
      </c>
      <c r="B127" t="s">
        <v>20</v>
      </c>
      <c r="C127" t="s">
        <v>10</v>
      </c>
      <c r="D127">
        <v>8574</v>
      </c>
      <c r="E127">
        <v>12.23</v>
      </c>
      <c r="F127">
        <v>451.41</v>
      </c>
    </row>
    <row r="128" spans="1:6">
      <c r="A128" s="5">
        <v>2022</v>
      </c>
      <c r="B128" t="s">
        <v>20</v>
      </c>
      <c r="C128" t="s">
        <v>11</v>
      </c>
      <c r="D128">
        <v>7374</v>
      </c>
      <c r="E128">
        <v>39.479999999999997</v>
      </c>
      <c r="F128">
        <v>353.02</v>
      </c>
    </row>
    <row r="129" spans="1:6">
      <c r="A129" s="5">
        <v>2022</v>
      </c>
      <c r="B129" t="s">
        <v>20</v>
      </c>
      <c r="C129" t="s">
        <v>12</v>
      </c>
      <c r="D129">
        <v>7892</v>
      </c>
      <c r="E129">
        <v>31.84</v>
      </c>
      <c r="F129">
        <v>411.32</v>
      </c>
    </row>
    <row r="130" spans="1:6">
      <c r="A130" s="5">
        <v>2022</v>
      </c>
      <c r="B130" t="s">
        <v>20</v>
      </c>
      <c r="C130" t="s">
        <v>13</v>
      </c>
      <c r="D130">
        <v>2678</v>
      </c>
      <c r="E130">
        <v>38.229999999999997</v>
      </c>
      <c r="F130">
        <v>159.06</v>
      </c>
    </row>
    <row r="131" spans="1:6">
      <c r="A131" s="5">
        <v>2022</v>
      </c>
      <c r="B131" t="s">
        <v>20</v>
      </c>
      <c r="C131" t="s">
        <v>14</v>
      </c>
      <c r="D131">
        <v>4242</v>
      </c>
      <c r="E131">
        <v>48.75</v>
      </c>
      <c r="F131">
        <v>198.66</v>
      </c>
    </row>
    <row r="132" spans="1:6">
      <c r="A132" s="5">
        <v>2022</v>
      </c>
      <c r="B132" t="s">
        <v>20</v>
      </c>
      <c r="C132" t="s">
        <v>15</v>
      </c>
      <c r="D132">
        <v>5636</v>
      </c>
      <c r="E132">
        <v>37.520000000000003</v>
      </c>
      <c r="F132">
        <v>285.47000000000003</v>
      </c>
    </row>
    <row r="133" spans="1:6">
      <c r="A133" s="5">
        <v>2022</v>
      </c>
      <c r="B133" t="s">
        <v>20</v>
      </c>
      <c r="C133" t="s">
        <v>16</v>
      </c>
      <c r="D133">
        <v>2059</v>
      </c>
      <c r="E133">
        <v>43.48</v>
      </c>
      <c r="F133">
        <v>116.92</v>
      </c>
    </row>
    <row r="134" spans="1:6">
      <c r="A134" s="5">
        <v>2022</v>
      </c>
      <c r="B134" t="s">
        <v>20</v>
      </c>
      <c r="C134" t="s">
        <v>7</v>
      </c>
      <c r="D134">
        <v>7668</v>
      </c>
      <c r="E134">
        <v>44.67</v>
      </c>
      <c r="F134">
        <v>396.6</v>
      </c>
    </row>
    <row r="135" spans="1:6">
      <c r="A135" s="5">
        <v>2022</v>
      </c>
      <c r="B135" t="s">
        <v>20</v>
      </c>
      <c r="C135" t="s">
        <v>8</v>
      </c>
      <c r="D135">
        <v>4157</v>
      </c>
      <c r="E135">
        <v>43.54</v>
      </c>
      <c r="F135">
        <v>204.83</v>
      </c>
    </row>
    <row r="136" spans="1:6">
      <c r="A136" s="5">
        <v>2022</v>
      </c>
      <c r="B136" t="s">
        <v>20</v>
      </c>
      <c r="C136" t="s">
        <v>9</v>
      </c>
      <c r="D136">
        <v>6915</v>
      </c>
      <c r="E136">
        <v>27.04</v>
      </c>
      <c r="F136">
        <v>354.43</v>
      </c>
    </row>
    <row r="137" spans="1:6">
      <c r="A137" s="5">
        <v>2022</v>
      </c>
      <c r="B137" t="s">
        <v>20</v>
      </c>
      <c r="C137" t="s">
        <v>10</v>
      </c>
      <c r="D137">
        <v>3693</v>
      </c>
      <c r="E137">
        <v>18.899999999999999</v>
      </c>
      <c r="F137">
        <v>213.62</v>
      </c>
    </row>
    <row r="138" spans="1:6">
      <c r="A138" s="5">
        <v>2022</v>
      </c>
      <c r="B138" t="s">
        <v>20</v>
      </c>
      <c r="C138" t="s">
        <v>11</v>
      </c>
      <c r="D138">
        <v>4627</v>
      </c>
      <c r="E138">
        <v>25.87</v>
      </c>
      <c r="F138">
        <v>246.49</v>
      </c>
    </row>
    <row r="139" spans="1:6">
      <c r="A139" s="5">
        <v>2022</v>
      </c>
      <c r="B139" t="s">
        <v>20</v>
      </c>
      <c r="C139" t="s">
        <v>12</v>
      </c>
      <c r="D139">
        <v>6450</v>
      </c>
      <c r="E139">
        <v>45.68</v>
      </c>
      <c r="F139">
        <v>323.95</v>
      </c>
    </row>
    <row r="140" spans="1:6">
      <c r="A140" s="5">
        <v>2022</v>
      </c>
      <c r="B140" t="s">
        <v>20</v>
      </c>
      <c r="C140" t="s">
        <v>13</v>
      </c>
      <c r="D140">
        <v>2663</v>
      </c>
      <c r="E140">
        <v>15.86</v>
      </c>
      <c r="F140">
        <v>140.22999999999999</v>
      </c>
    </row>
    <row r="141" spans="1:6">
      <c r="A141" s="5">
        <v>2022</v>
      </c>
      <c r="B141" t="s">
        <v>20</v>
      </c>
      <c r="C141" t="s">
        <v>14</v>
      </c>
      <c r="D141">
        <v>6592</v>
      </c>
      <c r="E141">
        <v>30.53</v>
      </c>
      <c r="F141">
        <v>348.5</v>
      </c>
    </row>
    <row r="142" spans="1:6">
      <c r="A142" s="5">
        <v>2022</v>
      </c>
      <c r="B142" t="s">
        <v>20</v>
      </c>
      <c r="C142" t="s">
        <v>15</v>
      </c>
      <c r="D142">
        <v>8392</v>
      </c>
      <c r="E142">
        <v>19.329999999999998</v>
      </c>
      <c r="F142">
        <v>432.04</v>
      </c>
    </row>
    <row r="143" spans="1:6">
      <c r="A143" s="5">
        <v>2022</v>
      </c>
      <c r="B143" t="s">
        <v>20</v>
      </c>
      <c r="C143" t="s">
        <v>16</v>
      </c>
      <c r="D143">
        <v>2306</v>
      </c>
      <c r="E143">
        <v>33.25</v>
      </c>
      <c r="F143">
        <v>143.52000000000001</v>
      </c>
    </row>
    <row r="144" spans="1:6">
      <c r="A144" s="5">
        <v>2022</v>
      </c>
      <c r="B144" t="s">
        <v>20</v>
      </c>
      <c r="C144" t="s">
        <v>7</v>
      </c>
      <c r="D144">
        <v>7776</v>
      </c>
      <c r="E144">
        <v>44.53</v>
      </c>
      <c r="F144">
        <v>371.92</v>
      </c>
    </row>
    <row r="145" spans="1:6">
      <c r="A145" s="5">
        <v>2022</v>
      </c>
      <c r="B145" t="s">
        <v>20</v>
      </c>
      <c r="C145" t="s">
        <v>8</v>
      </c>
      <c r="D145">
        <v>6864</v>
      </c>
      <c r="E145">
        <v>45.21</v>
      </c>
      <c r="F145">
        <v>325.83999999999997</v>
      </c>
    </row>
    <row r="146" spans="1:6">
      <c r="A146" s="5">
        <v>2022</v>
      </c>
      <c r="B146" t="s">
        <v>20</v>
      </c>
      <c r="C146" t="s">
        <v>9</v>
      </c>
      <c r="D146">
        <v>8526</v>
      </c>
      <c r="E146">
        <v>19.47</v>
      </c>
      <c r="F146">
        <v>461.85</v>
      </c>
    </row>
    <row r="147" spans="1:6">
      <c r="A147" s="5">
        <v>2022</v>
      </c>
      <c r="B147" t="s">
        <v>20</v>
      </c>
      <c r="C147" t="s">
        <v>10</v>
      </c>
      <c r="D147">
        <v>9901</v>
      </c>
      <c r="E147">
        <v>46.31</v>
      </c>
      <c r="F147">
        <v>489.76</v>
      </c>
    </row>
    <row r="148" spans="1:6">
      <c r="A148" s="5">
        <v>2022</v>
      </c>
      <c r="B148" t="s">
        <v>20</v>
      </c>
      <c r="C148" t="s">
        <v>11</v>
      </c>
      <c r="D148">
        <v>6575</v>
      </c>
      <c r="E148">
        <v>33.68</v>
      </c>
      <c r="F148">
        <v>383.87</v>
      </c>
    </row>
    <row r="149" spans="1:6">
      <c r="A149" s="5">
        <v>2022</v>
      </c>
      <c r="B149" t="s">
        <v>20</v>
      </c>
      <c r="C149" t="s">
        <v>12</v>
      </c>
      <c r="D149">
        <v>6530</v>
      </c>
      <c r="E149">
        <v>24.01</v>
      </c>
      <c r="F149">
        <v>315.10000000000002</v>
      </c>
    </row>
    <row r="150" spans="1:6">
      <c r="A150" s="5">
        <v>2022</v>
      </c>
      <c r="B150" t="s">
        <v>20</v>
      </c>
      <c r="C150" t="s">
        <v>13</v>
      </c>
      <c r="D150">
        <v>5413</v>
      </c>
      <c r="E150">
        <v>38.33</v>
      </c>
      <c r="F150">
        <v>276.85000000000002</v>
      </c>
    </row>
    <row r="151" spans="1:6">
      <c r="A151" s="5">
        <v>2022</v>
      </c>
      <c r="B151" t="s">
        <v>20</v>
      </c>
      <c r="C151" t="s">
        <v>14</v>
      </c>
      <c r="D151">
        <v>4748</v>
      </c>
      <c r="E151">
        <v>29.27</v>
      </c>
      <c r="F151">
        <v>274.87</v>
      </c>
    </row>
    <row r="152" spans="1:6">
      <c r="A152" s="5">
        <v>2022</v>
      </c>
      <c r="B152" t="s">
        <v>20</v>
      </c>
      <c r="C152" t="s">
        <v>15</v>
      </c>
      <c r="D152">
        <v>1663</v>
      </c>
      <c r="E152">
        <v>25.12</v>
      </c>
      <c r="F152">
        <v>91.44</v>
      </c>
    </row>
    <row r="153" spans="1:6">
      <c r="A153" s="5">
        <v>2022</v>
      </c>
      <c r="B153" t="s">
        <v>20</v>
      </c>
      <c r="C153" t="s">
        <v>16</v>
      </c>
      <c r="D153">
        <v>2998</v>
      </c>
      <c r="E153">
        <v>38.200000000000003</v>
      </c>
      <c r="F153">
        <v>135.84</v>
      </c>
    </row>
    <row r="154" spans="1:6">
      <c r="A154" s="5">
        <v>2022</v>
      </c>
      <c r="B154" t="s">
        <v>20</v>
      </c>
      <c r="C154" t="s">
        <v>7</v>
      </c>
      <c r="D154">
        <v>8994</v>
      </c>
      <c r="E154">
        <v>19.95</v>
      </c>
      <c r="F154">
        <v>458.34</v>
      </c>
    </row>
    <row r="155" spans="1:6">
      <c r="A155" s="5">
        <v>2022</v>
      </c>
      <c r="B155" t="s">
        <v>21</v>
      </c>
      <c r="C155" t="s">
        <v>8</v>
      </c>
      <c r="D155">
        <v>2495</v>
      </c>
      <c r="E155">
        <v>23.21</v>
      </c>
      <c r="F155">
        <v>114.66</v>
      </c>
    </row>
    <row r="156" spans="1:6">
      <c r="A156" s="5">
        <v>2022</v>
      </c>
      <c r="B156" t="s">
        <v>21</v>
      </c>
      <c r="C156" t="s">
        <v>9</v>
      </c>
      <c r="D156">
        <v>4304</v>
      </c>
      <c r="E156">
        <v>27.38</v>
      </c>
      <c r="F156">
        <v>259.33999999999997</v>
      </c>
    </row>
    <row r="157" spans="1:6">
      <c r="A157" s="5">
        <v>2022</v>
      </c>
      <c r="B157" t="s">
        <v>21</v>
      </c>
      <c r="C157" t="s">
        <v>10</v>
      </c>
      <c r="D157">
        <v>4763</v>
      </c>
      <c r="E157">
        <v>20.149999999999999</v>
      </c>
      <c r="F157">
        <v>257.38</v>
      </c>
    </row>
    <row r="158" spans="1:6">
      <c r="A158" s="5">
        <v>2022</v>
      </c>
      <c r="B158" t="s">
        <v>21</v>
      </c>
      <c r="C158" t="s">
        <v>11</v>
      </c>
      <c r="D158">
        <v>6232</v>
      </c>
      <c r="E158">
        <v>26.21</v>
      </c>
      <c r="F158">
        <v>321.19</v>
      </c>
    </row>
    <row r="159" spans="1:6">
      <c r="A159" s="5">
        <v>2022</v>
      </c>
      <c r="B159" t="s">
        <v>21</v>
      </c>
      <c r="C159" t="s">
        <v>12</v>
      </c>
      <c r="D159">
        <v>2853</v>
      </c>
      <c r="E159">
        <v>32.86</v>
      </c>
      <c r="F159">
        <v>110.74</v>
      </c>
    </row>
    <row r="160" spans="1:6">
      <c r="A160" s="5">
        <v>2022</v>
      </c>
      <c r="B160" t="s">
        <v>21</v>
      </c>
      <c r="C160" t="s">
        <v>13</v>
      </c>
      <c r="D160">
        <v>7585</v>
      </c>
      <c r="E160">
        <v>39.64</v>
      </c>
      <c r="F160">
        <v>353.01</v>
      </c>
    </row>
    <row r="161" spans="1:6">
      <c r="A161" s="5">
        <v>2022</v>
      </c>
      <c r="B161" t="s">
        <v>21</v>
      </c>
      <c r="C161" t="s">
        <v>14</v>
      </c>
      <c r="D161">
        <v>2291</v>
      </c>
      <c r="E161">
        <v>40.69</v>
      </c>
      <c r="F161">
        <v>145.03</v>
      </c>
    </row>
    <row r="162" spans="1:6">
      <c r="A162" s="5">
        <v>2022</v>
      </c>
      <c r="B162" t="s">
        <v>21</v>
      </c>
      <c r="C162" t="s">
        <v>15</v>
      </c>
      <c r="D162">
        <v>4581</v>
      </c>
      <c r="E162">
        <v>42.91</v>
      </c>
      <c r="F162">
        <v>233.62</v>
      </c>
    </row>
    <row r="163" spans="1:6">
      <c r="A163" s="5">
        <v>2022</v>
      </c>
      <c r="B163" t="s">
        <v>21</v>
      </c>
      <c r="C163" t="s">
        <v>16</v>
      </c>
      <c r="D163">
        <v>8554</v>
      </c>
      <c r="E163">
        <v>39.770000000000003</v>
      </c>
      <c r="F163">
        <v>453.31</v>
      </c>
    </row>
    <row r="164" spans="1:6">
      <c r="A164" s="5">
        <v>2022</v>
      </c>
      <c r="B164" t="s">
        <v>21</v>
      </c>
      <c r="C164" t="s">
        <v>7</v>
      </c>
      <c r="D164">
        <v>8280</v>
      </c>
      <c r="E164">
        <v>37.24</v>
      </c>
      <c r="F164">
        <v>440.11</v>
      </c>
    </row>
    <row r="165" spans="1:6">
      <c r="A165" s="5">
        <v>2022</v>
      </c>
      <c r="B165" t="s">
        <v>21</v>
      </c>
      <c r="C165" t="s">
        <v>8</v>
      </c>
      <c r="D165">
        <v>2636</v>
      </c>
      <c r="E165">
        <v>19.5</v>
      </c>
      <c r="F165">
        <v>138.38999999999999</v>
      </c>
    </row>
    <row r="166" spans="1:6">
      <c r="A166" s="5">
        <v>2022</v>
      </c>
      <c r="B166" t="s">
        <v>21</v>
      </c>
      <c r="C166" t="s">
        <v>9</v>
      </c>
      <c r="D166">
        <v>4696</v>
      </c>
      <c r="E166">
        <v>26.01</v>
      </c>
      <c r="F166">
        <v>302.19</v>
      </c>
    </row>
    <row r="167" spans="1:6">
      <c r="A167" s="5">
        <v>2022</v>
      </c>
      <c r="B167" t="s">
        <v>21</v>
      </c>
      <c r="C167" t="s">
        <v>10</v>
      </c>
      <c r="D167">
        <v>1698</v>
      </c>
      <c r="E167">
        <v>29.11</v>
      </c>
      <c r="F167">
        <v>138.96</v>
      </c>
    </row>
    <row r="168" spans="1:6">
      <c r="A168" s="5">
        <v>2022</v>
      </c>
      <c r="B168" t="s">
        <v>21</v>
      </c>
      <c r="C168" t="s">
        <v>11</v>
      </c>
      <c r="D168">
        <v>5737</v>
      </c>
      <c r="E168">
        <v>13.32</v>
      </c>
      <c r="F168">
        <v>309.60000000000002</v>
      </c>
    </row>
    <row r="169" spans="1:6">
      <c r="A169" s="5">
        <v>2022</v>
      </c>
      <c r="B169" t="s">
        <v>21</v>
      </c>
      <c r="C169" t="s">
        <v>12</v>
      </c>
      <c r="D169">
        <v>1854</v>
      </c>
      <c r="E169">
        <v>31.13</v>
      </c>
      <c r="F169">
        <v>33.97</v>
      </c>
    </row>
    <row r="170" spans="1:6">
      <c r="A170" s="5">
        <v>2022</v>
      </c>
      <c r="B170" t="s">
        <v>21</v>
      </c>
      <c r="C170" t="s">
        <v>13</v>
      </c>
      <c r="D170">
        <v>9164</v>
      </c>
      <c r="E170">
        <v>27.45</v>
      </c>
      <c r="F170">
        <v>468.13</v>
      </c>
    </row>
    <row r="171" spans="1:6">
      <c r="A171" s="5">
        <v>2022</v>
      </c>
      <c r="B171" t="s">
        <v>21</v>
      </c>
      <c r="C171" t="s">
        <v>14</v>
      </c>
      <c r="D171">
        <v>6855</v>
      </c>
      <c r="E171">
        <v>42.08</v>
      </c>
      <c r="F171">
        <v>347.01</v>
      </c>
    </row>
    <row r="172" spans="1:6">
      <c r="A172" s="5">
        <v>2022</v>
      </c>
      <c r="B172" t="s">
        <v>21</v>
      </c>
      <c r="C172" t="s">
        <v>15</v>
      </c>
      <c r="D172">
        <v>8392</v>
      </c>
      <c r="E172">
        <v>49.12</v>
      </c>
      <c r="F172">
        <v>399.31</v>
      </c>
    </row>
    <row r="173" spans="1:6">
      <c r="A173" s="5">
        <v>2022</v>
      </c>
      <c r="B173" t="s">
        <v>21</v>
      </c>
      <c r="C173" t="s">
        <v>16</v>
      </c>
      <c r="D173">
        <v>7528</v>
      </c>
      <c r="E173">
        <v>32.24</v>
      </c>
      <c r="F173">
        <v>383.28</v>
      </c>
    </row>
    <row r="174" spans="1:6">
      <c r="A174" s="5">
        <v>2022</v>
      </c>
      <c r="B174" t="s">
        <v>21</v>
      </c>
      <c r="C174" t="s">
        <v>7</v>
      </c>
      <c r="D174">
        <v>6249</v>
      </c>
      <c r="E174">
        <v>22.91</v>
      </c>
      <c r="F174">
        <v>318.39</v>
      </c>
    </row>
    <row r="175" spans="1:6">
      <c r="A175" s="5">
        <v>2022</v>
      </c>
      <c r="B175" t="s">
        <v>21</v>
      </c>
      <c r="C175" t="s">
        <v>8</v>
      </c>
      <c r="D175">
        <v>6172</v>
      </c>
      <c r="E175">
        <v>11.74</v>
      </c>
      <c r="F175">
        <v>362.95</v>
      </c>
    </row>
    <row r="176" spans="1:6">
      <c r="A176" s="5">
        <v>2022</v>
      </c>
      <c r="B176" t="s">
        <v>21</v>
      </c>
      <c r="C176" t="s">
        <v>9</v>
      </c>
      <c r="D176">
        <v>2707</v>
      </c>
      <c r="E176">
        <v>46.99</v>
      </c>
      <c r="F176">
        <v>130.24</v>
      </c>
    </row>
    <row r="177" spans="1:6">
      <c r="A177" s="5">
        <v>2022</v>
      </c>
      <c r="B177" t="s">
        <v>21</v>
      </c>
      <c r="C177" t="s">
        <v>10</v>
      </c>
      <c r="D177">
        <v>6791</v>
      </c>
      <c r="E177">
        <v>46.76</v>
      </c>
      <c r="F177">
        <v>352.46</v>
      </c>
    </row>
    <row r="178" spans="1:6">
      <c r="A178" s="5">
        <v>2022</v>
      </c>
      <c r="B178" t="s">
        <v>21</v>
      </c>
      <c r="C178" t="s">
        <v>11</v>
      </c>
      <c r="D178">
        <v>6535</v>
      </c>
      <c r="E178">
        <v>20.12</v>
      </c>
      <c r="F178">
        <v>377.05</v>
      </c>
    </row>
    <row r="179" spans="1:6">
      <c r="A179" s="5">
        <v>2022</v>
      </c>
      <c r="B179" t="s">
        <v>21</v>
      </c>
      <c r="C179" t="s">
        <v>12</v>
      </c>
      <c r="D179">
        <v>5931</v>
      </c>
      <c r="E179">
        <v>37.82</v>
      </c>
      <c r="F179">
        <v>257.68</v>
      </c>
    </row>
    <row r="180" spans="1:6">
      <c r="A180" s="5">
        <v>2022</v>
      </c>
      <c r="B180" t="s">
        <v>21</v>
      </c>
      <c r="C180" t="s">
        <v>13</v>
      </c>
      <c r="D180">
        <v>4510</v>
      </c>
      <c r="E180">
        <v>13.02</v>
      </c>
      <c r="F180">
        <v>244.47</v>
      </c>
    </row>
    <row r="181" spans="1:6">
      <c r="A181" s="5">
        <v>2022</v>
      </c>
      <c r="B181" t="s">
        <v>21</v>
      </c>
      <c r="C181" t="s">
        <v>14</v>
      </c>
      <c r="D181">
        <v>1202</v>
      </c>
      <c r="E181">
        <v>16.649999999999999</v>
      </c>
      <c r="F181">
        <v>77.64</v>
      </c>
    </row>
    <row r="182" spans="1:6">
      <c r="A182" s="5">
        <v>2022</v>
      </c>
      <c r="B182" t="s">
        <v>21</v>
      </c>
      <c r="C182" t="s">
        <v>15</v>
      </c>
      <c r="D182">
        <v>5218</v>
      </c>
      <c r="E182">
        <v>18.670000000000002</v>
      </c>
      <c r="F182">
        <v>339.92</v>
      </c>
    </row>
    <row r="183" spans="1:6">
      <c r="A183" s="5">
        <v>2022</v>
      </c>
      <c r="B183" t="s">
        <v>21</v>
      </c>
      <c r="C183" t="s">
        <v>16</v>
      </c>
      <c r="D183">
        <v>9958</v>
      </c>
      <c r="E183">
        <v>21.78</v>
      </c>
      <c r="F183">
        <v>524.74</v>
      </c>
    </row>
    <row r="184" spans="1:6">
      <c r="A184" s="5">
        <v>2022</v>
      </c>
      <c r="B184" t="s">
        <v>21</v>
      </c>
      <c r="C184" t="s">
        <v>7</v>
      </c>
      <c r="D184">
        <v>5389</v>
      </c>
      <c r="E184">
        <v>49.83</v>
      </c>
      <c r="F184">
        <v>275.89999999999998</v>
      </c>
    </row>
    <row r="185" spans="1:6">
      <c r="A185" s="5">
        <v>2022</v>
      </c>
      <c r="B185" t="s">
        <v>22</v>
      </c>
      <c r="C185" t="s">
        <v>8</v>
      </c>
      <c r="D185">
        <v>3327</v>
      </c>
      <c r="E185">
        <v>37.880000000000003</v>
      </c>
      <c r="F185">
        <v>133.28</v>
      </c>
    </row>
    <row r="186" spans="1:6">
      <c r="A186" s="5">
        <v>2022</v>
      </c>
      <c r="B186" t="s">
        <v>22</v>
      </c>
      <c r="C186" t="s">
        <v>9</v>
      </c>
      <c r="D186">
        <v>9004</v>
      </c>
      <c r="E186">
        <v>25.37</v>
      </c>
      <c r="F186">
        <v>472.62</v>
      </c>
    </row>
    <row r="187" spans="1:6">
      <c r="A187" s="5">
        <v>2022</v>
      </c>
      <c r="B187" t="s">
        <v>22</v>
      </c>
      <c r="C187" t="s">
        <v>10</v>
      </c>
      <c r="D187">
        <v>3931</v>
      </c>
      <c r="E187">
        <v>39.479999999999997</v>
      </c>
      <c r="F187">
        <v>218.74</v>
      </c>
    </row>
    <row r="188" spans="1:6">
      <c r="A188" s="5">
        <v>2022</v>
      </c>
      <c r="B188" t="s">
        <v>22</v>
      </c>
      <c r="C188" t="s">
        <v>11</v>
      </c>
      <c r="D188">
        <v>8777</v>
      </c>
      <c r="E188">
        <v>46.61</v>
      </c>
      <c r="F188">
        <v>450.16</v>
      </c>
    </row>
    <row r="189" spans="1:6">
      <c r="A189" s="5">
        <v>2022</v>
      </c>
      <c r="B189" t="s">
        <v>22</v>
      </c>
      <c r="C189" t="s">
        <v>12</v>
      </c>
      <c r="D189">
        <v>1197</v>
      </c>
      <c r="E189">
        <v>48.35</v>
      </c>
      <c r="F189">
        <v>64.3</v>
      </c>
    </row>
    <row r="190" spans="1:6">
      <c r="A190" s="5">
        <v>2022</v>
      </c>
      <c r="B190" t="s">
        <v>22</v>
      </c>
      <c r="C190" t="s">
        <v>13</v>
      </c>
      <c r="D190">
        <v>8125</v>
      </c>
      <c r="E190">
        <v>12.31</v>
      </c>
      <c r="F190">
        <v>441.73</v>
      </c>
    </row>
    <row r="191" spans="1:6">
      <c r="A191" s="5">
        <v>2022</v>
      </c>
      <c r="B191" t="s">
        <v>22</v>
      </c>
      <c r="C191" t="s">
        <v>14</v>
      </c>
      <c r="D191">
        <v>2930</v>
      </c>
      <c r="E191">
        <v>25.78</v>
      </c>
      <c r="F191">
        <v>166.79</v>
      </c>
    </row>
    <row r="192" spans="1:6">
      <c r="A192" s="5">
        <v>2022</v>
      </c>
      <c r="B192" t="s">
        <v>22</v>
      </c>
      <c r="C192" t="s">
        <v>15</v>
      </c>
      <c r="D192">
        <v>7287</v>
      </c>
      <c r="E192">
        <v>14.27</v>
      </c>
      <c r="F192">
        <v>363.36</v>
      </c>
    </row>
    <row r="193" spans="1:6">
      <c r="A193" s="5">
        <v>2022</v>
      </c>
      <c r="B193" t="s">
        <v>22</v>
      </c>
      <c r="C193" t="s">
        <v>16</v>
      </c>
      <c r="D193">
        <v>9800</v>
      </c>
      <c r="E193">
        <v>23.43</v>
      </c>
      <c r="F193">
        <v>493.88</v>
      </c>
    </row>
    <row r="194" spans="1:6">
      <c r="A194" s="5">
        <v>2022</v>
      </c>
      <c r="B194" t="s">
        <v>22</v>
      </c>
      <c r="C194" t="s">
        <v>7</v>
      </c>
      <c r="D194">
        <v>5282</v>
      </c>
      <c r="E194">
        <v>16.79</v>
      </c>
      <c r="F194">
        <v>298.57</v>
      </c>
    </row>
    <row r="195" spans="1:6">
      <c r="A195" s="5">
        <v>2022</v>
      </c>
      <c r="B195" t="s">
        <v>22</v>
      </c>
      <c r="C195" t="s">
        <v>8</v>
      </c>
      <c r="D195">
        <v>3511</v>
      </c>
      <c r="E195">
        <v>35.869999999999997</v>
      </c>
      <c r="F195">
        <v>168.18</v>
      </c>
    </row>
    <row r="196" spans="1:6">
      <c r="A196" s="5">
        <v>2022</v>
      </c>
      <c r="B196" t="s">
        <v>22</v>
      </c>
      <c r="C196" t="s">
        <v>9</v>
      </c>
      <c r="D196">
        <v>1659</v>
      </c>
      <c r="E196">
        <v>25.53</v>
      </c>
      <c r="F196">
        <v>116.09</v>
      </c>
    </row>
    <row r="197" spans="1:6">
      <c r="A197" s="5">
        <v>2022</v>
      </c>
      <c r="B197" t="s">
        <v>22</v>
      </c>
      <c r="C197" t="s">
        <v>10</v>
      </c>
      <c r="D197">
        <v>3811</v>
      </c>
      <c r="E197">
        <v>19.18</v>
      </c>
      <c r="F197">
        <v>226.87</v>
      </c>
    </row>
    <row r="198" spans="1:6">
      <c r="A198" s="5">
        <v>2022</v>
      </c>
      <c r="B198" t="s">
        <v>22</v>
      </c>
      <c r="C198" t="s">
        <v>11</v>
      </c>
      <c r="D198">
        <v>8098</v>
      </c>
      <c r="E198">
        <v>20.64</v>
      </c>
      <c r="F198">
        <v>457.48</v>
      </c>
    </row>
    <row r="199" spans="1:6">
      <c r="A199" s="5">
        <v>2022</v>
      </c>
      <c r="B199" t="s">
        <v>22</v>
      </c>
      <c r="C199" t="s">
        <v>12</v>
      </c>
      <c r="D199">
        <v>7546</v>
      </c>
      <c r="E199">
        <v>24.41</v>
      </c>
      <c r="F199">
        <v>417.17</v>
      </c>
    </row>
    <row r="200" spans="1:6">
      <c r="A200" s="5">
        <v>2022</v>
      </c>
      <c r="B200" t="s">
        <v>22</v>
      </c>
      <c r="C200" t="s">
        <v>13</v>
      </c>
      <c r="D200">
        <v>2986</v>
      </c>
      <c r="E200">
        <v>20.399999999999999</v>
      </c>
      <c r="F200">
        <v>179.37</v>
      </c>
    </row>
    <row r="201" spans="1:6">
      <c r="A201" s="5">
        <v>2022</v>
      </c>
      <c r="B201" t="s">
        <v>22</v>
      </c>
      <c r="C201" t="s">
        <v>14</v>
      </c>
      <c r="D201">
        <v>9338</v>
      </c>
      <c r="E201">
        <v>28.13</v>
      </c>
      <c r="F201">
        <v>498.1</v>
      </c>
    </row>
    <row r="202" spans="1:6">
      <c r="A202" s="5">
        <v>2022</v>
      </c>
      <c r="B202" t="s">
        <v>22</v>
      </c>
      <c r="C202" t="s">
        <v>15</v>
      </c>
      <c r="D202">
        <v>3911</v>
      </c>
      <c r="E202">
        <v>11.29</v>
      </c>
      <c r="F202">
        <v>252.1</v>
      </c>
    </row>
    <row r="203" spans="1:6">
      <c r="A203" s="5">
        <v>2022</v>
      </c>
      <c r="B203" t="s">
        <v>22</v>
      </c>
      <c r="C203" t="s">
        <v>16</v>
      </c>
      <c r="D203">
        <v>2734</v>
      </c>
      <c r="E203">
        <v>21.19</v>
      </c>
      <c r="F203">
        <v>151.12</v>
      </c>
    </row>
    <row r="204" spans="1:6">
      <c r="A204" s="5">
        <v>2022</v>
      </c>
      <c r="B204" t="s">
        <v>22</v>
      </c>
      <c r="C204" t="s">
        <v>7</v>
      </c>
      <c r="D204">
        <v>2843</v>
      </c>
      <c r="E204">
        <v>26.45</v>
      </c>
      <c r="F204">
        <v>153.83000000000001</v>
      </c>
    </row>
    <row r="205" spans="1:6">
      <c r="A205" s="5">
        <v>2022</v>
      </c>
      <c r="B205" t="s">
        <v>22</v>
      </c>
      <c r="C205" t="s">
        <v>8</v>
      </c>
      <c r="D205">
        <v>9680</v>
      </c>
      <c r="E205">
        <v>34.11</v>
      </c>
      <c r="F205">
        <v>491.13</v>
      </c>
    </row>
    <row r="206" spans="1:6">
      <c r="A206" s="5">
        <v>2022</v>
      </c>
      <c r="B206" t="s">
        <v>22</v>
      </c>
      <c r="C206" t="s">
        <v>9</v>
      </c>
      <c r="D206">
        <v>3976</v>
      </c>
      <c r="E206">
        <v>20.84</v>
      </c>
      <c r="F206">
        <v>214.28</v>
      </c>
    </row>
    <row r="207" spans="1:6">
      <c r="A207" s="5">
        <v>2022</v>
      </c>
      <c r="B207" t="s">
        <v>22</v>
      </c>
      <c r="C207" t="s">
        <v>10</v>
      </c>
      <c r="D207">
        <v>2959</v>
      </c>
      <c r="E207">
        <v>15.33</v>
      </c>
      <c r="F207">
        <v>199.87</v>
      </c>
    </row>
    <row r="208" spans="1:6">
      <c r="A208" s="5">
        <v>2022</v>
      </c>
      <c r="B208" t="s">
        <v>22</v>
      </c>
      <c r="C208" t="s">
        <v>11</v>
      </c>
      <c r="D208">
        <v>6759</v>
      </c>
      <c r="E208">
        <v>13.05</v>
      </c>
      <c r="F208">
        <v>359.75</v>
      </c>
    </row>
    <row r="209" spans="1:6">
      <c r="A209" s="5">
        <v>2022</v>
      </c>
      <c r="B209" t="s">
        <v>22</v>
      </c>
      <c r="C209" t="s">
        <v>12</v>
      </c>
      <c r="D209">
        <v>7694</v>
      </c>
      <c r="E209">
        <v>47.62</v>
      </c>
      <c r="F209">
        <v>402.59</v>
      </c>
    </row>
    <row r="210" spans="1:6">
      <c r="A210" s="5">
        <v>2022</v>
      </c>
      <c r="B210" t="s">
        <v>22</v>
      </c>
      <c r="C210" t="s">
        <v>13</v>
      </c>
      <c r="D210">
        <v>3385</v>
      </c>
      <c r="E210">
        <v>26.67</v>
      </c>
      <c r="F210">
        <v>179.91</v>
      </c>
    </row>
    <row r="211" spans="1:6">
      <c r="A211" s="5">
        <v>2022</v>
      </c>
      <c r="B211" t="s">
        <v>22</v>
      </c>
      <c r="C211" t="s">
        <v>14</v>
      </c>
      <c r="D211">
        <v>5736</v>
      </c>
      <c r="E211">
        <v>33.25</v>
      </c>
      <c r="F211">
        <v>306.35000000000002</v>
      </c>
    </row>
    <row r="212" spans="1:6">
      <c r="A212" s="5">
        <v>2022</v>
      </c>
      <c r="B212" t="s">
        <v>22</v>
      </c>
      <c r="C212" t="s">
        <v>15</v>
      </c>
      <c r="D212">
        <v>2802</v>
      </c>
      <c r="E212">
        <v>46.77</v>
      </c>
      <c r="F212">
        <v>137.31</v>
      </c>
    </row>
    <row r="213" spans="1:6">
      <c r="A213" s="5">
        <v>2022</v>
      </c>
      <c r="B213" t="s">
        <v>22</v>
      </c>
      <c r="C213" t="s">
        <v>16</v>
      </c>
      <c r="D213">
        <v>9155</v>
      </c>
      <c r="E213">
        <v>13.31</v>
      </c>
      <c r="F213">
        <v>472.26</v>
      </c>
    </row>
    <row r="214" spans="1:6">
      <c r="A214" s="5">
        <v>2022</v>
      </c>
      <c r="B214" t="s">
        <v>22</v>
      </c>
      <c r="C214" t="s">
        <v>7</v>
      </c>
      <c r="D214">
        <v>9120</v>
      </c>
      <c r="E214">
        <v>45.07</v>
      </c>
      <c r="F214">
        <v>451.52</v>
      </c>
    </row>
    <row r="215" spans="1:6">
      <c r="A215" s="5">
        <v>2022</v>
      </c>
      <c r="B215" t="s">
        <v>22</v>
      </c>
      <c r="C215" t="s">
        <v>8</v>
      </c>
      <c r="D215">
        <v>7616</v>
      </c>
      <c r="E215">
        <v>32.06</v>
      </c>
      <c r="F215">
        <v>399</v>
      </c>
    </row>
    <row r="216" spans="1:6">
      <c r="A216" s="5">
        <v>2022</v>
      </c>
      <c r="B216" t="s">
        <v>23</v>
      </c>
      <c r="C216" t="s">
        <v>9</v>
      </c>
      <c r="D216">
        <v>6534</v>
      </c>
      <c r="E216">
        <v>16.59</v>
      </c>
      <c r="F216">
        <v>355.5</v>
      </c>
    </row>
    <row r="217" spans="1:6">
      <c r="A217" s="5">
        <v>2022</v>
      </c>
      <c r="B217" t="s">
        <v>23</v>
      </c>
      <c r="C217" t="s">
        <v>10</v>
      </c>
      <c r="D217">
        <v>5061</v>
      </c>
      <c r="E217">
        <v>26.45</v>
      </c>
      <c r="F217">
        <v>244.46</v>
      </c>
    </row>
    <row r="218" spans="1:6">
      <c r="A218" s="5">
        <v>2022</v>
      </c>
      <c r="B218" t="s">
        <v>23</v>
      </c>
      <c r="C218" t="s">
        <v>11</v>
      </c>
      <c r="D218">
        <v>1262</v>
      </c>
      <c r="E218">
        <v>41.1</v>
      </c>
      <c r="F218">
        <v>97.8</v>
      </c>
    </row>
    <row r="219" spans="1:6">
      <c r="A219" s="5">
        <v>2022</v>
      </c>
      <c r="B219" t="s">
        <v>23</v>
      </c>
      <c r="C219" t="s">
        <v>12</v>
      </c>
      <c r="D219">
        <v>7287</v>
      </c>
      <c r="E219">
        <v>29.21</v>
      </c>
      <c r="F219">
        <v>381.05</v>
      </c>
    </row>
    <row r="220" spans="1:6">
      <c r="A220" s="5">
        <v>2022</v>
      </c>
      <c r="B220" t="s">
        <v>23</v>
      </c>
      <c r="C220" t="s">
        <v>13</v>
      </c>
      <c r="D220">
        <v>9815</v>
      </c>
      <c r="E220">
        <v>49.41</v>
      </c>
      <c r="F220">
        <v>465.57</v>
      </c>
    </row>
    <row r="221" spans="1:6">
      <c r="A221" s="5">
        <v>2022</v>
      </c>
      <c r="B221" t="s">
        <v>23</v>
      </c>
      <c r="C221" t="s">
        <v>14</v>
      </c>
      <c r="D221">
        <v>3049</v>
      </c>
      <c r="E221">
        <v>25.07</v>
      </c>
      <c r="F221">
        <v>204.78</v>
      </c>
    </row>
    <row r="222" spans="1:6">
      <c r="A222" s="5">
        <v>2022</v>
      </c>
      <c r="B222" t="s">
        <v>23</v>
      </c>
      <c r="C222" t="s">
        <v>15</v>
      </c>
      <c r="D222">
        <v>6423</v>
      </c>
      <c r="E222">
        <v>39.979999999999997</v>
      </c>
      <c r="F222">
        <v>335.52</v>
      </c>
    </row>
    <row r="223" spans="1:6">
      <c r="A223" s="5">
        <v>2022</v>
      </c>
      <c r="B223" t="s">
        <v>23</v>
      </c>
      <c r="C223" t="s">
        <v>16</v>
      </c>
      <c r="D223">
        <v>5548</v>
      </c>
      <c r="E223">
        <v>25.72</v>
      </c>
      <c r="F223">
        <v>272.52999999999997</v>
      </c>
    </row>
    <row r="224" spans="1:6">
      <c r="A224" s="5">
        <v>2022</v>
      </c>
      <c r="B224" t="s">
        <v>23</v>
      </c>
      <c r="C224" t="s">
        <v>7</v>
      </c>
      <c r="D224">
        <v>4108</v>
      </c>
      <c r="E224">
        <v>43.17</v>
      </c>
      <c r="F224">
        <v>182.71</v>
      </c>
    </row>
    <row r="225" spans="1:6">
      <c r="A225" s="5">
        <v>2022</v>
      </c>
      <c r="B225" t="s">
        <v>23</v>
      </c>
      <c r="C225" t="s">
        <v>8</v>
      </c>
      <c r="D225">
        <v>8158</v>
      </c>
      <c r="E225">
        <v>32.76</v>
      </c>
      <c r="F225">
        <v>414.14</v>
      </c>
    </row>
    <row r="226" spans="1:6">
      <c r="A226" s="5">
        <v>2022</v>
      </c>
      <c r="B226" t="s">
        <v>23</v>
      </c>
      <c r="C226" t="s">
        <v>9</v>
      </c>
      <c r="D226">
        <v>8400</v>
      </c>
      <c r="E226">
        <v>12.54</v>
      </c>
      <c r="F226">
        <v>460.9</v>
      </c>
    </row>
    <row r="227" spans="1:6">
      <c r="A227" s="5">
        <v>2022</v>
      </c>
      <c r="B227" t="s">
        <v>23</v>
      </c>
      <c r="C227" t="s">
        <v>10</v>
      </c>
      <c r="D227">
        <v>4170</v>
      </c>
      <c r="E227">
        <v>11.47</v>
      </c>
      <c r="F227">
        <v>257.19</v>
      </c>
    </row>
    <row r="228" spans="1:6">
      <c r="A228" s="5">
        <v>2022</v>
      </c>
      <c r="B228" t="s">
        <v>23</v>
      </c>
      <c r="C228" t="s">
        <v>11</v>
      </c>
      <c r="D228">
        <v>3255</v>
      </c>
      <c r="E228">
        <v>15.35</v>
      </c>
      <c r="F228">
        <v>213.33</v>
      </c>
    </row>
    <row r="229" spans="1:6">
      <c r="A229" s="5">
        <v>2022</v>
      </c>
      <c r="B229" t="s">
        <v>23</v>
      </c>
      <c r="C229" t="s">
        <v>12</v>
      </c>
      <c r="D229">
        <v>2154</v>
      </c>
      <c r="E229">
        <v>10.55</v>
      </c>
      <c r="F229">
        <v>155.84</v>
      </c>
    </row>
    <row r="230" spans="1:6">
      <c r="A230" s="5">
        <v>2022</v>
      </c>
      <c r="B230" t="s">
        <v>23</v>
      </c>
      <c r="C230" t="s">
        <v>13</v>
      </c>
      <c r="D230">
        <v>5499</v>
      </c>
      <c r="E230">
        <v>13.01</v>
      </c>
      <c r="F230">
        <v>336.27</v>
      </c>
    </row>
    <row r="231" spans="1:6">
      <c r="A231" s="5">
        <v>2022</v>
      </c>
      <c r="B231" t="s">
        <v>23</v>
      </c>
      <c r="C231" t="s">
        <v>14</v>
      </c>
      <c r="D231">
        <v>7295</v>
      </c>
      <c r="E231">
        <v>37.67</v>
      </c>
      <c r="F231">
        <v>372.08</v>
      </c>
    </row>
    <row r="232" spans="1:6">
      <c r="A232" s="5">
        <v>2022</v>
      </c>
      <c r="B232" t="s">
        <v>23</v>
      </c>
      <c r="C232" t="s">
        <v>15</v>
      </c>
      <c r="D232">
        <v>7197</v>
      </c>
      <c r="E232">
        <v>31.37</v>
      </c>
      <c r="F232">
        <v>357.01</v>
      </c>
    </row>
    <row r="233" spans="1:6">
      <c r="A233" s="5">
        <v>2022</v>
      </c>
      <c r="B233" t="s">
        <v>23</v>
      </c>
      <c r="C233" t="s">
        <v>16</v>
      </c>
      <c r="D233">
        <v>2648</v>
      </c>
      <c r="E233">
        <v>40</v>
      </c>
      <c r="F233">
        <v>134.34</v>
      </c>
    </row>
    <row r="234" spans="1:6">
      <c r="A234" s="5">
        <v>2022</v>
      </c>
      <c r="B234" t="s">
        <v>23</v>
      </c>
      <c r="C234" t="s">
        <v>7</v>
      </c>
      <c r="D234">
        <v>6539</v>
      </c>
      <c r="E234">
        <v>46.53</v>
      </c>
      <c r="F234">
        <v>319.74</v>
      </c>
    </row>
    <row r="235" spans="1:6">
      <c r="A235" s="5">
        <v>2022</v>
      </c>
      <c r="B235" t="s">
        <v>23</v>
      </c>
      <c r="C235" t="s">
        <v>8</v>
      </c>
      <c r="D235">
        <v>5199</v>
      </c>
      <c r="E235">
        <v>33.409999999999997</v>
      </c>
      <c r="F235">
        <v>218.3</v>
      </c>
    </row>
    <row r="236" spans="1:6">
      <c r="A236" s="5">
        <v>2022</v>
      </c>
      <c r="B236" t="s">
        <v>23</v>
      </c>
      <c r="C236" t="s">
        <v>9</v>
      </c>
      <c r="D236">
        <v>9445</v>
      </c>
      <c r="E236">
        <v>39.04</v>
      </c>
      <c r="F236">
        <v>464.17</v>
      </c>
    </row>
    <row r="237" spans="1:6">
      <c r="A237" s="5">
        <v>2022</v>
      </c>
      <c r="B237" t="s">
        <v>23</v>
      </c>
      <c r="C237" t="s">
        <v>10</v>
      </c>
      <c r="D237">
        <v>3557</v>
      </c>
      <c r="E237">
        <v>40.28</v>
      </c>
      <c r="F237">
        <v>185.79</v>
      </c>
    </row>
    <row r="238" spans="1:6">
      <c r="A238" s="5">
        <v>2022</v>
      </c>
      <c r="B238" t="s">
        <v>23</v>
      </c>
      <c r="C238" t="s">
        <v>11</v>
      </c>
      <c r="D238">
        <v>6592</v>
      </c>
      <c r="E238">
        <v>25.11</v>
      </c>
      <c r="F238">
        <v>340.98</v>
      </c>
    </row>
    <row r="239" spans="1:6">
      <c r="A239" s="5">
        <v>2022</v>
      </c>
      <c r="B239" t="s">
        <v>23</v>
      </c>
      <c r="C239" t="s">
        <v>12</v>
      </c>
      <c r="D239">
        <v>1098</v>
      </c>
      <c r="E239">
        <v>19.64</v>
      </c>
      <c r="F239">
        <v>68.400000000000006</v>
      </c>
    </row>
    <row r="240" spans="1:6">
      <c r="A240" s="5">
        <v>2022</v>
      </c>
      <c r="B240" t="s">
        <v>23</v>
      </c>
      <c r="C240" t="s">
        <v>13</v>
      </c>
      <c r="D240">
        <v>3200</v>
      </c>
      <c r="E240">
        <v>18.2</v>
      </c>
      <c r="F240">
        <v>206.39</v>
      </c>
    </row>
    <row r="241" spans="1:6">
      <c r="A241" s="5">
        <v>2022</v>
      </c>
      <c r="B241" t="s">
        <v>23</v>
      </c>
      <c r="C241" t="s">
        <v>14</v>
      </c>
      <c r="D241">
        <v>3961</v>
      </c>
      <c r="E241">
        <v>20.059999999999999</v>
      </c>
      <c r="F241">
        <v>205.65</v>
      </c>
    </row>
    <row r="242" spans="1:6">
      <c r="A242" s="5">
        <v>2022</v>
      </c>
      <c r="B242" t="s">
        <v>23</v>
      </c>
      <c r="C242" t="s">
        <v>15</v>
      </c>
      <c r="D242">
        <v>5973</v>
      </c>
      <c r="E242">
        <v>20.99</v>
      </c>
      <c r="F242">
        <v>337.7</v>
      </c>
    </row>
    <row r="243" spans="1:6">
      <c r="A243" s="5">
        <v>2022</v>
      </c>
      <c r="B243" t="s">
        <v>23</v>
      </c>
      <c r="C243" t="s">
        <v>16</v>
      </c>
      <c r="D243">
        <v>5433</v>
      </c>
      <c r="E243">
        <v>18.29</v>
      </c>
      <c r="F243">
        <v>273.05</v>
      </c>
    </row>
    <row r="244" spans="1:6">
      <c r="A244" s="5">
        <v>2022</v>
      </c>
      <c r="B244" t="s">
        <v>23</v>
      </c>
      <c r="C244" t="s">
        <v>7</v>
      </c>
      <c r="D244">
        <v>3869</v>
      </c>
      <c r="E244">
        <v>45.13</v>
      </c>
      <c r="F244">
        <v>244.51</v>
      </c>
    </row>
    <row r="245" spans="1:6">
      <c r="A245" s="5">
        <v>2022</v>
      </c>
      <c r="B245" t="s">
        <v>23</v>
      </c>
      <c r="C245" t="s">
        <v>8</v>
      </c>
      <c r="D245">
        <v>1956</v>
      </c>
      <c r="E245">
        <v>40.28</v>
      </c>
      <c r="F245">
        <v>95.15</v>
      </c>
    </row>
    <row r="246" spans="1:6">
      <c r="A246" s="5">
        <v>2022</v>
      </c>
      <c r="B246" t="s">
        <v>23</v>
      </c>
      <c r="C246" t="s">
        <v>9</v>
      </c>
      <c r="D246">
        <v>9352</v>
      </c>
      <c r="E246">
        <v>11.88</v>
      </c>
      <c r="F246">
        <v>496.88</v>
      </c>
    </row>
    <row r="247" spans="1:6">
      <c r="A247" s="5">
        <v>2022</v>
      </c>
      <c r="B247" t="s">
        <v>24</v>
      </c>
      <c r="C247" t="s">
        <v>10</v>
      </c>
      <c r="D247">
        <v>6699</v>
      </c>
      <c r="E247">
        <v>20.75</v>
      </c>
      <c r="F247">
        <v>382.92</v>
      </c>
    </row>
    <row r="248" spans="1:6">
      <c r="A248" s="5">
        <v>2022</v>
      </c>
      <c r="B248" t="s">
        <v>24</v>
      </c>
      <c r="C248" t="s">
        <v>11</v>
      </c>
      <c r="D248">
        <v>7944</v>
      </c>
      <c r="E248">
        <v>10.89</v>
      </c>
      <c r="F248">
        <v>425.76</v>
      </c>
    </row>
    <row r="249" spans="1:6">
      <c r="A249" s="5">
        <v>2022</v>
      </c>
      <c r="B249" t="s">
        <v>24</v>
      </c>
      <c r="C249" t="s">
        <v>12</v>
      </c>
      <c r="D249">
        <v>5493</v>
      </c>
      <c r="E249">
        <v>29.93</v>
      </c>
      <c r="F249">
        <v>317.83999999999997</v>
      </c>
    </row>
    <row r="250" spans="1:6">
      <c r="A250" s="5">
        <v>2022</v>
      </c>
      <c r="B250" t="s">
        <v>24</v>
      </c>
      <c r="C250" t="s">
        <v>13</v>
      </c>
      <c r="D250">
        <v>5911</v>
      </c>
      <c r="E250">
        <v>29.05</v>
      </c>
      <c r="F250">
        <v>318.12</v>
      </c>
    </row>
    <row r="251" spans="1:6">
      <c r="A251" s="5">
        <v>2022</v>
      </c>
      <c r="B251" t="s">
        <v>24</v>
      </c>
      <c r="C251" t="s">
        <v>14</v>
      </c>
      <c r="D251">
        <v>4987</v>
      </c>
      <c r="E251">
        <v>43.25</v>
      </c>
      <c r="F251">
        <v>245.08</v>
      </c>
    </row>
    <row r="252" spans="1:6">
      <c r="A252" s="5">
        <v>2022</v>
      </c>
      <c r="B252" t="s">
        <v>24</v>
      </c>
      <c r="C252" t="s">
        <v>15</v>
      </c>
      <c r="D252">
        <v>7015</v>
      </c>
      <c r="E252">
        <v>22.31</v>
      </c>
      <c r="F252">
        <v>369.48</v>
      </c>
    </row>
    <row r="253" spans="1:6">
      <c r="A253" s="5">
        <v>2022</v>
      </c>
      <c r="B253" t="s">
        <v>24</v>
      </c>
      <c r="C253" t="s">
        <v>16</v>
      </c>
      <c r="D253">
        <v>2218</v>
      </c>
      <c r="E253">
        <v>42.66</v>
      </c>
      <c r="F253">
        <v>133.87</v>
      </c>
    </row>
    <row r="254" spans="1:6">
      <c r="A254" s="5">
        <v>2022</v>
      </c>
      <c r="B254" t="s">
        <v>24</v>
      </c>
      <c r="C254" t="s">
        <v>7</v>
      </c>
      <c r="D254">
        <v>5496</v>
      </c>
      <c r="E254">
        <v>48.72</v>
      </c>
      <c r="F254">
        <v>270.95</v>
      </c>
    </row>
    <row r="255" spans="1:6">
      <c r="A255" s="5">
        <v>2022</v>
      </c>
      <c r="B255" t="s">
        <v>24</v>
      </c>
      <c r="C255" t="s">
        <v>8</v>
      </c>
      <c r="D255">
        <v>5735</v>
      </c>
      <c r="E255">
        <v>13.54</v>
      </c>
      <c r="F255">
        <v>329.15</v>
      </c>
    </row>
    <row r="256" spans="1:6">
      <c r="A256" s="5">
        <v>2022</v>
      </c>
      <c r="B256" t="s">
        <v>24</v>
      </c>
      <c r="C256" t="s">
        <v>9</v>
      </c>
      <c r="D256">
        <v>5555</v>
      </c>
      <c r="E256">
        <v>41.67</v>
      </c>
      <c r="F256">
        <v>288.56</v>
      </c>
    </row>
    <row r="257" spans="1:6">
      <c r="A257" s="5">
        <v>2022</v>
      </c>
      <c r="B257" t="s">
        <v>24</v>
      </c>
      <c r="C257" t="s">
        <v>10</v>
      </c>
      <c r="D257">
        <v>9050</v>
      </c>
      <c r="E257">
        <v>33.6</v>
      </c>
      <c r="F257">
        <v>464.84</v>
      </c>
    </row>
    <row r="258" spans="1:6">
      <c r="A258" s="5">
        <v>2022</v>
      </c>
      <c r="B258" t="s">
        <v>24</v>
      </c>
      <c r="C258" t="s">
        <v>11</v>
      </c>
      <c r="D258">
        <v>4446</v>
      </c>
      <c r="E258">
        <v>29.2</v>
      </c>
      <c r="F258">
        <v>247.66</v>
      </c>
    </row>
    <row r="259" spans="1:6">
      <c r="A259" s="5">
        <v>2022</v>
      </c>
      <c r="B259" t="s">
        <v>24</v>
      </c>
      <c r="C259" t="s">
        <v>12</v>
      </c>
      <c r="D259">
        <v>2045</v>
      </c>
      <c r="E259">
        <v>26.82</v>
      </c>
      <c r="F259">
        <v>117.7</v>
      </c>
    </row>
    <row r="260" spans="1:6">
      <c r="A260" s="5">
        <v>2022</v>
      </c>
      <c r="B260" t="s">
        <v>24</v>
      </c>
      <c r="C260" t="s">
        <v>13</v>
      </c>
      <c r="D260">
        <v>7893</v>
      </c>
      <c r="E260">
        <v>41.39</v>
      </c>
      <c r="F260">
        <v>393.99</v>
      </c>
    </row>
    <row r="261" spans="1:6">
      <c r="A261" s="5">
        <v>2022</v>
      </c>
      <c r="B261" t="s">
        <v>24</v>
      </c>
      <c r="C261" t="s">
        <v>14</v>
      </c>
      <c r="D261">
        <v>2693</v>
      </c>
      <c r="E261">
        <v>35.57</v>
      </c>
      <c r="F261">
        <v>119.58</v>
      </c>
    </row>
    <row r="262" spans="1:6">
      <c r="A262" s="5">
        <v>2022</v>
      </c>
      <c r="B262" t="s">
        <v>24</v>
      </c>
      <c r="C262" t="s">
        <v>15</v>
      </c>
      <c r="D262">
        <v>4436</v>
      </c>
      <c r="E262">
        <v>42.2</v>
      </c>
      <c r="F262">
        <v>227.11</v>
      </c>
    </row>
    <row r="263" spans="1:6">
      <c r="A263" s="5">
        <v>2022</v>
      </c>
      <c r="B263" t="s">
        <v>24</v>
      </c>
      <c r="C263" t="s">
        <v>16</v>
      </c>
      <c r="D263">
        <v>9754</v>
      </c>
      <c r="E263">
        <v>46.13</v>
      </c>
      <c r="F263">
        <v>447.96</v>
      </c>
    </row>
    <row r="264" spans="1:6">
      <c r="A264" s="5">
        <v>2022</v>
      </c>
      <c r="B264" t="s">
        <v>24</v>
      </c>
      <c r="C264" t="s">
        <v>7</v>
      </c>
      <c r="D264">
        <v>6895</v>
      </c>
      <c r="E264">
        <v>34.69</v>
      </c>
      <c r="F264">
        <v>358.79</v>
      </c>
    </row>
    <row r="265" spans="1:6">
      <c r="A265" s="5">
        <v>2022</v>
      </c>
      <c r="B265" t="s">
        <v>24</v>
      </c>
      <c r="C265" t="s">
        <v>8</v>
      </c>
      <c r="D265">
        <v>4354</v>
      </c>
      <c r="E265">
        <v>49.22</v>
      </c>
      <c r="F265">
        <v>203.03</v>
      </c>
    </row>
    <row r="266" spans="1:6">
      <c r="A266" s="5">
        <v>2022</v>
      </c>
      <c r="B266" t="s">
        <v>24</v>
      </c>
      <c r="C266" t="s">
        <v>9</v>
      </c>
      <c r="D266">
        <v>1225</v>
      </c>
      <c r="E266">
        <v>34.32</v>
      </c>
      <c r="F266">
        <v>77.55</v>
      </c>
    </row>
    <row r="267" spans="1:6">
      <c r="A267" s="5">
        <v>2022</v>
      </c>
      <c r="B267" t="s">
        <v>24</v>
      </c>
      <c r="C267" t="s">
        <v>10</v>
      </c>
      <c r="D267">
        <v>5893</v>
      </c>
      <c r="E267">
        <v>35.47</v>
      </c>
      <c r="F267">
        <v>281.11</v>
      </c>
    </row>
    <row r="268" spans="1:6">
      <c r="A268" s="5">
        <v>2022</v>
      </c>
      <c r="B268" t="s">
        <v>24</v>
      </c>
      <c r="C268" t="s">
        <v>11</v>
      </c>
      <c r="D268">
        <v>8022</v>
      </c>
      <c r="E268">
        <v>32.19</v>
      </c>
      <c r="F268">
        <v>370.08</v>
      </c>
    </row>
    <row r="269" spans="1:6">
      <c r="A269" s="5">
        <v>2022</v>
      </c>
      <c r="B269" t="s">
        <v>24</v>
      </c>
      <c r="C269" t="s">
        <v>12</v>
      </c>
      <c r="D269">
        <v>6600</v>
      </c>
      <c r="E269">
        <v>13.64</v>
      </c>
      <c r="F269">
        <v>356.61</v>
      </c>
    </row>
    <row r="270" spans="1:6">
      <c r="A270" s="5">
        <v>2022</v>
      </c>
      <c r="B270" t="s">
        <v>24</v>
      </c>
      <c r="C270" t="s">
        <v>13</v>
      </c>
      <c r="D270">
        <v>8996</v>
      </c>
      <c r="E270">
        <v>39.06</v>
      </c>
      <c r="F270">
        <v>432.01</v>
      </c>
    </row>
    <row r="271" spans="1:6">
      <c r="A271" s="5">
        <v>2022</v>
      </c>
      <c r="B271" t="s">
        <v>24</v>
      </c>
      <c r="C271" t="s">
        <v>14</v>
      </c>
      <c r="D271">
        <v>8683</v>
      </c>
      <c r="E271">
        <v>31.9</v>
      </c>
      <c r="F271">
        <v>410.26</v>
      </c>
    </row>
    <row r="272" spans="1:6">
      <c r="A272" s="5">
        <v>2022</v>
      </c>
      <c r="B272" t="s">
        <v>24</v>
      </c>
      <c r="C272" t="s">
        <v>15</v>
      </c>
      <c r="D272">
        <v>5642</v>
      </c>
      <c r="E272">
        <v>28.04</v>
      </c>
      <c r="F272">
        <v>313.82</v>
      </c>
    </row>
    <row r="273" spans="1:6">
      <c r="A273" s="5">
        <v>2022</v>
      </c>
      <c r="B273" t="s">
        <v>24</v>
      </c>
      <c r="C273" t="s">
        <v>16</v>
      </c>
      <c r="D273">
        <v>8679</v>
      </c>
      <c r="E273">
        <v>46.42</v>
      </c>
      <c r="F273">
        <v>460.27</v>
      </c>
    </row>
    <row r="274" spans="1:6">
      <c r="A274" s="5">
        <v>2022</v>
      </c>
      <c r="B274" t="s">
        <v>24</v>
      </c>
      <c r="C274" t="s">
        <v>7</v>
      </c>
      <c r="D274">
        <v>9208</v>
      </c>
      <c r="E274">
        <v>21.92</v>
      </c>
      <c r="F274">
        <v>468.16</v>
      </c>
    </row>
    <row r="275" spans="1:6">
      <c r="A275" s="5">
        <v>2022</v>
      </c>
      <c r="B275" t="s">
        <v>24</v>
      </c>
      <c r="C275" t="s">
        <v>8</v>
      </c>
      <c r="D275">
        <v>8339</v>
      </c>
      <c r="E275">
        <v>30.94</v>
      </c>
      <c r="F275">
        <v>428.3</v>
      </c>
    </row>
    <row r="276" spans="1:6">
      <c r="A276" s="5">
        <v>2022</v>
      </c>
      <c r="B276" t="s">
        <v>24</v>
      </c>
      <c r="C276" t="s">
        <v>9</v>
      </c>
      <c r="D276">
        <v>3205</v>
      </c>
      <c r="E276">
        <v>37.909999999999997</v>
      </c>
      <c r="F276">
        <v>158.61000000000001</v>
      </c>
    </row>
    <row r="277" spans="1:6">
      <c r="A277" s="5">
        <v>2022</v>
      </c>
      <c r="B277" t="s">
        <v>25</v>
      </c>
      <c r="C277" t="s">
        <v>10</v>
      </c>
      <c r="D277">
        <v>2069</v>
      </c>
      <c r="E277">
        <v>41.86</v>
      </c>
      <c r="F277">
        <v>90.04</v>
      </c>
    </row>
    <row r="278" spans="1:6">
      <c r="A278" s="5">
        <v>2022</v>
      </c>
      <c r="B278" t="s">
        <v>25</v>
      </c>
      <c r="C278" t="s">
        <v>11</v>
      </c>
      <c r="D278">
        <v>4444</v>
      </c>
      <c r="E278">
        <v>28.37</v>
      </c>
      <c r="F278">
        <v>251.43</v>
      </c>
    </row>
    <row r="279" spans="1:6">
      <c r="A279" s="5">
        <v>2022</v>
      </c>
      <c r="B279" t="s">
        <v>25</v>
      </c>
      <c r="C279" t="s">
        <v>12</v>
      </c>
      <c r="D279">
        <v>2060</v>
      </c>
      <c r="E279">
        <v>43.68</v>
      </c>
      <c r="F279">
        <v>120.78</v>
      </c>
    </row>
    <row r="280" spans="1:6">
      <c r="A280" s="5">
        <v>2022</v>
      </c>
      <c r="B280" t="s">
        <v>25</v>
      </c>
      <c r="C280" t="s">
        <v>13</v>
      </c>
      <c r="D280">
        <v>3327</v>
      </c>
      <c r="E280">
        <v>40.76</v>
      </c>
      <c r="F280">
        <v>150.07</v>
      </c>
    </row>
    <row r="281" spans="1:6">
      <c r="A281" s="5">
        <v>2022</v>
      </c>
      <c r="B281" t="s">
        <v>25</v>
      </c>
      <c r="C281" t="s">
        <v>14</v>
      </c>
      <c r="D281">
        <v>4420</v>
      </c>
      <c r="E281">
        <v>12.65</v>
      </c>
      <c r="F281">
        <v>256.72000000000003</v>
      </c>
    </row>
    <row r="282" spans="1:6">
      <c r="A282" s="5">
        <v>2022</v>
      </c>
      <c r="B282" t="s">
        <v>25</v>
      </c>
      <c r="C282" t="s">
        <v>15</v>
      </c>
      <c r="D282">
        <v>1301</v>
      </c>
      <c r="E282">
        <v>11.83</v>
      </c>
      <c r="F282">
        <v>126.54</v>
      </c>
    </row>
    <row r="283" spans="1:6">
      <c r="A283" s="5">
        <v>2022</v>
      </c>
      <c r="B283" t="s">
        <v>25</v>
      </c>
      <c r="C283" t="s">
        <v>16</v>
      </c>
      <c r="D283">
        <v>1606</v>
      </c>
      <c r="E283">
        <v>34.83</v>
      </c>
      <c r="F283">
        <v>102.28</v>
      </c>
    </row>
    <row r="284" spans="1:6">
      <c r="A284" s="5">
        <v>2022</v>
      </c>
      <c r="B284" t="s">
        <v>25</v>
      </c>
      <c r="C284" t="s">
        <v>7</v>
      </c>
      <c r="D284">
        <v>4170</v>
      </c>
      <c r="E284">
        <v>23.9</v>
      </c>
      <c r="F284">
        <v>246.58</v>
      </c>
    </row>
    <row r="285" spans="1:6">
      <c r="A285" s="5">
        <v>2022</v>
      </c>
      <c r="B285" t="s">
        <v>25</v>
      </c>
      <c r="C285" t="s">
        <v>8</v>
      </c>
      <c r="D285">
        <v>1699</v>
      </c>
      <c r="E285">
        <v>18.37</v>
      </c>
      <c r="F285">
        <v>140.27000000000001</v>
      </c>
    </row>
    <row r="286" spans="1:6">
      <c r="A286" s="5">
        <v>2022</v>
      </c>
      <c r="B286" t="s">
        <v>25</v>
      </c>
      <c r="C286" t="s">
        <v>9</v>
      </c>
      <c r="D286">
        <v>6088</v>
      </c>
      <c r="E286">
        <v>33.19</v>
      </c>
      <c r="F286">
        <v>341.67</v>
      </c>
    </row>
    <row r="287" spans="1:6">
      <c r="A287" s="5">
        <v>2022</v>
      </c>
      <c r="B287" t="s">
        <v>25</v>
      </c>
      <c r="C287" t="s">
        <v>10</v>
      </c>
      <c r="D287">
        <v>1190</v>
      </c>
      <c r="E287">
        <v>23.66</v>
      </c>
      <c r="F287">
        <v>101.68</v>
      </c>
    </row>
    <row r="288" spans="1:6">
      <c r="A288" s="5">
        <v>2022</v>
      </c>
      <c r="B288" t="s">
        <v>25</v>
      </c>
      <c r="C288" t="s">
        <v>11</v>
      </c>
      <c r="D288">
        <v>1980</v>
      </c>
      <c r="E288">
        <v>31.49</v>
      </c>
      <c r="F288">
        <v>114.11</v>
      </c>
    </row>
    <row r="289" spans="1:6">
      <c r="A289" s="5">
        <v>2022</v>
      </c>
      <c r="B289" t="s">
        <v>25</v>
      </c>
      <c r="C289" t="s">
        <v>12</v>
      </c>
      <c r="D289">
        <v>3975</v>
      </c>
      <c r="E289">
        <v>28.4</v>
      </c>
      <c r="F289">
        <v>207.01</v>
      </c>
    </row>
    <row r="290" spans="1:6">
      <c r="A290" s="5">
        <v>2022</v>
      </c>
      <c r="B290" t="s">
        <v>25</v>
      </c>
      <c r="C290" t="s">
        <v>13</v>
      </c>
      <c r="D290">
        <v>7102</v>
      </c>
      <c r="E290">
        <v>33.39</v>
      </c>
      <c r="F290">
        <v>367.1</v>
      </c>
    </row>
    <row r="291" spans="1:6">
      <c r="A291" s="5">
        <v>2022</v>
      </c>
      <c r="B291" t="s">
        <v>25</v>
      </c>
      <c r="C291" t="s">
        <v>14</v>
      </c>
      <c r="D291">
        <v>2184</v>
      </c>
      <c r="E291">
        <v>26.01</v>
      </c>
      <c r="F291">
        <v>117.3</v>
      </c>
    </row>
    <row r="292" spans="1:6">
      <c r="A292" s="5">
        <v>2022</v>
      </c>
      <c r="B292" t="s">
        <v>25</v>
      </c>
      <c r="C292" t="s">
        <v>15</v>
      </c>
      <c r="D292">
        <v>4327</v>
      </c>
      <c r="E292">
        <v>37.909999999999997</v>
      </c>
      <c r="F292">
        <v>181.81</v>
      </c>
    </row>
    <row r="293" spans="1:6">
      <c r="A293" s="5">
        <v>2022</v>
      </c>
      <c r="B293" t="s">
        <v>25</v>
      </c>
      <c r="C293" t="s">
        <v>16</v>
      </c>
      <c r="D293">
        <v>4394</v>
      </c>
      <c r="E293">
        <v>17.2</v>
      </c>
      <c r="F293">
        <v>243.47</v>
      </c>
    </row>
    <row r="294" spans="1:6">
      <c r="A294" s="5">
        <v>2022</v>
      </c>
      <c r="B294" t="s">
        <v>25</v>
      </c>
      <c r="C294" t="s">
        <v>7</v>
      </c>
      <c r="D294">
        <v>9319</v>
      </c>
      <c r="E294">
        <v>37.86</v>
      </c>
      <c r="F294">
        <v>477.67</v>
      </c>
    </row>
    <row r="295" spans="1:6">
      <c r="A295" s="5">
        <v>2022</v>
      </c>
      <c r="B295" t="s">
        <v>25</v>
      </c>
      <c r="C295" t="s">
        <v>8</v>
      </c>
      <c r="D295">
        <v>2816</v>
      </c>
      <c r="E295">
        <v>26.47</v>
      </c>
      <c r="F295">
        <v>147.29</v>
      </c>
    </row>
    <row r="296" spans="1:6">
      <c r="A296" s="5">
        <v>2022</v>
      </c>
      <c r="B296" t="s">
        <v>25</v>
      </c>
      <c r="C296" t="s">
        <v>9</v>
      </c>
      <c r="D296">
        <v>6854</v>
      </c>
      <c r="E296">
        <v>44.97</v>
      </c>
      <c r="F296">
        <v>334.88</v>
      </c>
    </row>
    <row r="297" spans="1:6">
      <c r="A297" s="5">
        <v>2022</v>
      </c>
      <c r="B297" t="s">
        <v>25</v>
      </c>
      <c r="C297" t="s">
        <v>10</v>
      </c>
      <c r="D297">
        <v>7709</v>
      </c>
      <c r="E297">
        <v>30.61</v>
      </c>
      <c r="F297">
        <v>395.64</v>
      </c>
    </row>
    <row r="298" spans="1:6">
      <c r="A298" s="5">
        <v>2022</v>
      </c>
      <c r="B298" t="s">
        <v>25</v>
      </c>
      <c r="C298" t="s">
        <v>11</v>
      </c>
      <c r="D298">
        <v>1569</v>
      </c>
      <c r="E298">
        <v>48.92</v>
      </c>
      <c r="F298">
        <v>96.88</v>
      </c>
    </row>
    <row r="299" spans="1:6">
      <c r="A299" s="5">
        <v>2022</v>
      </c>
      <c r="B299" t="s">
        <v>25</v>
      </c>
      <c r="C299" t="s">
        <v>12</v>
      </c>
      <c r="D299">
        <v>6442</v>
      </c>
      <c r="E299">
        <v>34.08</v>
      </c>
      <c r="F299">
        <v>324.02</v>
      </c>
    </row>
    <row r="300" spans="1:6">
      <c r="A300" s="5">
        <v>2022</v>
      </c>
      <c r="B300" t="s">
        <v>25</v>
      </c>
      <c r="C300" t="s">
        <v>13</v>
      </c>
      <c r="D300">
        <v>2895</v>
      </c>
      <c r="E300">
        <v>18.95</v>
      </c>
      <c r="F300">
        <v>199.14</v>
      </c>
    </row>
    <row r="301" spans="1:6">
      <c r="A301" s="5">
        <v>2022</v>
      </c>
      <c r="B301" t="s">
        <v>25</v>
      </c>
      <c r="C301" t="s">
        <v>14</v>
      </c>
      <c r="D301">
        <v>3733</v>
      </c>
      <c r="E301">
        <v>42.87</v>
      </c>
      <c r="F301">
        <v>130.94999999999999</v>
      </c>
    </row>
    <row r="302" spans="1:6">
      <c r="A302" s="5">
        <v>2022</v>
      </c>
      <c r="B302" t="s">
        <v>25</v>
      </c>
      <c r="C302" t="s">
        <v>15</v>
      </c>
      <c r="D302">
        <v>4863</v>
      </c>
      <c r="E302">
        <v>23.8</v>
      </c>
      <c r="F302">
        <v>291.54000000000002</v>
      </c>
    </row>
    <row r="303" spans="1:6">
      <c r="A303" s="5">
        <v>2022</v>
      </c>
      <c r="B303" t="s">
        <v>25</v>
      </c>
      <c r="C303" t="s">
        <v>16</v>
      </c>
      <c r="D303">
        <v>8455</v>
      </c>
      <c r="E303">
        <v>23.9</v>
      </c>
      <c r="F303">
        <v>470.01</v>
      </c>
    </row>
    <row r="304" spans="1:6">
      <c r="A304" s="5">
        <v>2022</v>
      </c>
      <c r="B304" t="s">
        <v>25</v>
      </c>
      <c r="C304" t="s">
        <v>7</v>
      </c>
      <c r="D304">
        <v>5014</v>
      </c>
      <c r="E304">
        <v>11.27</v>
      </c>
      <c r="F304">
        <v>305.22000000000003</v>
      </c>
    </row>
    <row r="305" spans="1:6">
      <c r="A305" s="5">
        <v>2022</v>
      </c>
      <c r="B305" t="s">
        <v>25</v>
      </c>
      <c r="C305" t="s">
        <v>8</v>
      </c>
      <c r="D305">
        <v>2686</v>
      </c>
      <c r="E305">
        <v>31.95</v>
      </c>
      <c r="F305">
        <v>105.72</v>
      </c>
    </row>
    <row r="306" spans="1:6">
      <c r="A306" s="5">
        <v>2022</v>
      </c>
      <c r="B306" t="s">
        <v>25</v>
      </c>
      <c r="C306" t="s">
        <v>9</v>
      </c>
      <c r="D306">
        <v>4009</v>
      </c>
      <c r="E306">
        <v>31.38</v>
      </c>
      <c r="F306">
        <v>233.18</v>
      </c>
    </row>
    <row r="307" spans="1:6">
      <c r="A307" s="5">
        <v>2022</v>
      </c>
      <c r="B307" t="s">
        <v>25</v>
      </c>
      <c r="C307" t="s">
        <v>10</v>
      </c>
      <c r="D307">
        <v>8806</v>
      </c>
      <c r="E307">
        <v>24.24</v>
      </c>
      <c r="F307">
        <v>460.21</v>
      </c>
    </row>
    <row r="308" spans="1:6">
      <c r="A308" s="5">
        <v>2022</v>
      </c>
      <c r="B308" t="s">
        <v>26</v>
      </c>
      <c r="C308" t="s">
        <v>11</v>
      </c>
      <c r="D308">
        <v>1154</v>
      </c>
      <c r="E308">
        <v>45.77</v>
      </c>
      <c r="F308">
        <v>2.19</v>
      </c>
    </row>
    <row r="309" spans="1:6">
      <c r="A309" s="5">
        <v>2022</v>
      </c>
      <c r="B309" t="s">
        <v>26</v>
      </c>
      <c r="C309" t="s">
        <v>12</v>
      </c>
      <c r="D309">
        <v>2409</v>
      </c>
      <c r="E309">
        <v>15.15</v>
      </c>
      <c r="F309">
        <v>178.23</v>
      </c>
    </row>
    <row r="310" spans="1:6">
      <c r="A310" s="5">
        <v>2022</v>
      </c>
      <c r="B310" t="s">
        <v>26</v>
      </c>
      <c r="C310" t="s">
        <v>13</v>
      </c>
      <c r="D310">
        <v>1784</v>
      </c>
      <c r="E310">
        <v>23.2</v>
      </c>
      <c r="F310">
        <v>140.24</v>
      </c>
    </row>
    <row r="311" spans="1:6">
      <c r="A311" s="5">
        <v>2022</v>
      </c>
      <c r="B311" t="s">
        <v>26</v>
      </c>
      <c r="C311" t="s">
        <v>14</v>
      </c>
      <c r="D311">
        <v>9096</v>
      </c>
      <c r="E311">
        <v>22.86</v>
      </c>
      <c r="F311">
        <v>439.27</v>
      </c>
    </row>
    <row r="312" spans="1:6">
      <c r="A312" s="5">
        <v>2022</v>
      </c>
      <c r="B312" t="s">
        <v>26</v>
      </c>
      <c r="C312" t="s">
        <v>15</v>
      </c>
      <c r="D312">
        <v>8560</v>
      </c>
      <c r="E312">
        <v>13.69</v>
      </c>
      <c r="F312">
        <v>465.08</v>
      </c>
    </row>
    <row r="313" spans="1:6">
      <c r="A313" s="5">
        <v>2022</v>
      </c>
      <c r="B313" t="s">
        <v>26</v>
      </c>
      <c r="C313" t="s">
        <v>16</v>
      </c>
      <c r="D313">
        <v>8343</v>
      </c>
      <c r="E313">
        <v>29.25</v>
      </c>
      <c r="F313">
        <v>459.83</v>
      </c>
    </row>
    <row r="314" spans="1:6">
      <c r="A314" s="5">
        <v>2022</v>
      </c>
      <c r="B314" t="s">
        <v>26</v>
      </c>
      <c r="C314" t="s">
        <v>7</v>
      </c>
      <c r="D314">
        <v>8206</v>
      </c>
      <c r="E314">
        <v>37.51</v>
      </c>
      <c r="F314">
        <v>439.89</v>
      </c>
    </row>
    <row r="315" spans="1:6">
      <c r="A315" s="5">
        <v>2022</v>
      </c>
      <c r="B315" t="s">
        <v>26</v>
      </c>
      <c r="C315" t="s">
        <v>8</v>
      </c>
      <c r="D315">
        <v>6596</v>
      </c>
      <c r="E315">
        <v>30.47</v>
      </c>
      <c r="F315">
        <v>359.96</v>
      </c>
    </row>
    <row r="316" spans="1:6">
      <c r="A316" s="5">
        <v>2022</v>
      </c>
      <c r="B316" t="s">
        <v>26</v>
      </c>
      <c r="C316" t="s">
        <v>9</v>
      </c>
      <c r="D316">
        <v>6801</v>
      </c>
      <c r="E316">
        <v>16.28</v>
      </c>
      <c r="F316">
        <v>317.57</v>
      </c>
    </row>
    <row r="317" spans="1:6">
      <c r="A317" s="5">
        <v>2022</v>
      </c>
      <c r="B317" t="s">
        <v>26</v>
      </c>
      <c r="C317" t="s">
        <v>10</v>
      </c>
      <c r="D317">
        <v>3806</v>
      </c>
      <c r="E317">
        <v>25.09</v>
      </c>
      <c r="F317">
        <v>224.78</v>
      </c>
    </row>
    <row r="318" spans="1:6">
      <c r="A318" s="5">
        <v>2022</v>
      </c>
      <c r="B318" t="s">
        <v>26</v>
      </c>
      <c r="C318" t="s">
        <v>11</v>
      </c>
      <c r="D318">
        <v>1537</v>
      </c>
      <c r="E318">
        <v>10.1</v>
      </c>
      <c r="F318">
        <v>110.36</v>
      </c>
    </row>
    <row r="319" spans="1:6">
      <c r="A319" s="5">
        <v>2022</v>
      </c>
      <c r="B319" t="s">
        <v>26</v>
      </c>
      <c r="C319" t="s">
        <v>12</v>
      </c>
      <c r="D319">
        <v>6986</v>
      </c>
      <c r="E319">
        <v>44.73</v>
      </c>
      <c r="F319">
        <v>365.54</v>
      </c>
    </row>
    <row r="320" spans="1:6">
      <c r="A320" s="5">
        <v>2022</v>
      </c>
      <c r="B320" t="s">
        <v>26</v>
      </c>
      <c r="C320" t="s">
        <v>13</v>
      </c>
      <c r="D320">
        <v>2841</v>
      </c>
      <c r="E320">
        <v>13.38</v>
      </c>
      <c r="F320">
        <v>181.12</v>
      </c>
    </row>
    <row r="321" spans="1:6">
      <c r="A321" s="5">
        <v>2022</v>
      </c>
      <c r="B321" t="s">
        <v>26</v>
      </c>
      <c r="C321" t="s">
        <v>14</v>
      </c>
      <c r="D321">
        <v>9716</v>
      </c>
      <c r="E321">
        <v>33.89</v>
      </c>
      <c r="F321">
        <v>494.73</v>
      </c>
    </row>
    <row r="322" spans="1:6">
      <c r="A322" s="5">
        <v>2022</v>
      </c>
      <c r="B322" t="s">
        <v>26</v>
      </c>
      <c r="C322" t="s">
        <v>15</v>
      </c>
      <c r="D322">
        <v>7971</v>
      </c>
      <c r="E322">
        <v>49.45</v>
      </c>
      <c r="F322">
        <v>402.03</v>
      </c>
    </row>
    <row r="323" spans="1:6">
      <c r="A323" s="5">
        <v>2022</v>
      </c>
      <c r="B323" t="s">
        <v>26</v>
      </c>
      <c r="C323" t="s">
        <v>16</v>
      </c>
      <c r="D323">
        <v>6625</v>
      </c>
      <c r="E323">
        <v>31.46</v>
      </c>
      <c r="F323">
        <v>340.06</v>
      </c>
    </row>
    <row r="324" spans="1:6">
      <c r="A324" s="5">
        <v>2022</v>
      </c>
      <c r="B324" t="s">
        <v>27</v>
      </c>
      <c r="C324" t="s">
        <v>7</v>
      </c>
      <c r="D324">
        <v>3950</v>
      </c>
      <c r="E324">
        <v>46.96</v>
      </c>
      <c r="F324">
        <v>190.66</v>
      </c>
    </row>
    <row r="325" spans="1:6">
      <c r="A325" s="5">
        <v>2022</v>
      </c>
      <c r="B325" t="s">
        <v>27</v>
      </c>
      <c r="C325" t="s">
        <v>8</v>
      </c>
      <c r="D325">
        <v>8992</v>
      </c>
      <c r="E325">
        <v>19.440000000000001</v>
      </c>
      <c r="F325">
        <v>465.16</v>
      </c>
    </row>
    <row r="326" spans="1:6">
      <c r="A326" s="5">
        <v>2022</v>
      </c>
      <c r="B326" t="s">
        <v>27</v>
      </c>
      <c r="C326" t="s">
        <v>9</v>
      </c>
      <c r="D326">
        <v>5780</v>
      </c>
      <c r="E326">
        <v>40.4</v>
      </c>
      <c r="F326">
        <v>258.41000000000003</v>
      </c>
    </row>
    <row r="327" spans="1:6">
      <c r="A327" s="5">
        <v>2022</v>
      </c>
      <c r="B327" t="s">
        <v>27</v>
      </c>
      <c r="C327" t="s">
        <v>10</v>
      </c>
      <c r="D327">
        <v>3368</v>
      </c>
      <c r="E327">
        <v>31.25</v>
      </c>
      <c r="F327">
        <v>192.26</v>
      </c>
    </row>
    <row r="328" spans="1:6">
      <c r="A328" s="5">
        <v>2022</v>
      </c>
      <c r="B328" t="s">
        <v>27</v>
      </c>
      <c r="C328" t="s">
        <v>11</v>
      </c>
      <c r="D328">
        <v>7655</v>
      </c>
      <c r="E328">
        <v>38.82</v>
      </c>
      <c r="F328">
        <v>370.04</v>
      </c>
    </row>
    <row r="329" spans="1:6">
      <c r="A329" s="5">
        <v>2022</v>
      </c>
      <c r="B329" t="s">
        <v>27</v>
      </c>
      <c r="C329" t="s">
        <v>12</v>
      </c>
      <c r="D329">
        <v>9173</v>
      </c>
      <c r="E329">
        <v>12.49</v>
      </c>
      <c r="F329">
        <v>489.64</v>
      </c>
    </row>
    <row r="330" spans="1:6">
      <c r="A330" s="5">
        <v>2022</v>
      </c>
      <c r="B330" t="s">
        <v>27</v>
      </c>
      <c r="C330" t="s">
        <v>13</v>
      </c>
      <c r="D330">
        <v>5495</v>
      </c>
      <c r="E330">
        <v>15.91</v>
      </c>
      <c r="F330">
        <v>311.39999999999998</v>
      </c>
    </row>
    <row r="331" spans="1:6">
      <c r="A331" s="5">
        <v>2022</v>
      </c>
      <c r="B331" t="s">
        <v>27</v>
      </c>
      <c r="C331" t="s">
        <v>14</v>
      </c>
      <c r="D331">
        <v>7002</v>
      </c>
      <c r="E331">
        <v>15.32</v>
      </c>
      <c r="F331">
        <v>340.01</v>
      </c>
    </row>
    <row r="332" spans="1:6">
      <c r="A332" s="5">
        <v>2022</v>
      </c>
      <c r="B332" t="s">
        <v>27</v>
      </c>
      <c r="C332" t="s">
        <v>15</v>
      </c>
      <c r="D332">
        <v>7614</v>
      </c>
      <c r="E332">
        <v>37.49</v>
      </c>
      <c r="F332">
        <v>348.49</v>
      </c>
    </row>
    <row r="333" spans="1:6">
      <c r="A333" s="5">
        <v>2022</v>
      </c>
      <c r="B333" t="s">
        <v>27</v>
      </c>
      <c r="C333" t="s">
        <v>16</v>
      </c>
      <c r="D333">
        <v>6919</v>
      </c>
      <c r="E333">
        <v>43.78</v>
      </c>
      <c r="F333">
        <v>337.42</v>
      </c>
    </row>
    <row r="334" spans="1:6">
      <c r="A334" s="5">
        <v>2022</v>
      </c>
      <c r="B334" t="s">
        <v>27</v>
      </c>
      <c r="C334" t="s">
        <v>7</v>
      </c>
      <c r="D334">
        <v>1853</v>
      </c>
      <c r="E334">
        <v>39.979999999999997</v>
      </c>
      <c r="F334">
        <v>103.76</v>
      </c>
    </row>
    <row r="335" spans="1:6">
      <c r="A335" s="5">
        <v>2022</v>
      </c>
      <c r="B335" t="s">
        <v>27</v>
      </c>
      <c r="C335" t="s">
        <v>8</v>
      </c>
      <c r="D335">
        <v>5146</v>
      </c>
      <c r="E335">
        <v>11.22</v>
      </c>
      <c r="F335">
        <v>308.72000000000003</v>
      </c>
    </row>
    <row r="336" spans="1:6">
      <c r="A336" s="5">
        <v>2022</v>
      </c>
      <c r="B336" t="s">
        <v>27</v>
      </c>
      <c r="C336" t="s">
        <v>9</v>
      </c>
      <c r="D336">
        <v>4769</v>
      </c>
      <c r="E336">
        <v>44.69</v>
      </c>
      <c r="F336">
        <v>203</v>
      </c>
    </row>
    <row r="337" spans="1:6">
      <c r="A337" s="5">
        <v>2022</v>
      </c>
      <c r="B337" t="s">
        <v>27</v>
      </c>
      <c r="C337" t="s">
        <v>10</v>
      </c>
      <c r="D337">
        <v>1574</v>
      </c>
      <c r="E337">
        <v>24.17</v>
      </c>
      <c r="F337">
        <v>112.43</v>
      </c>
    </row>
    <row r="338" spans="1:6">
      <c r="A338" s="5">
        <v>2022</v>
      </c>
      <c r="B338" t="s">
        <v>27</v>
      </c>
      <c r="C338" t="s">
        <v>11</v>
      </c>
      <c r="D338">
        <v>2148</v>
      </c>
      <c r="E338">
        <v>25.89</v>
      </c>
      <c r="F338">
        <v>121.43</v>
      </c>
    </row>
    <row r="339" spans="1:6">
      <c r="A339" s="5">
        <v>2022</v>
      </c>
      <c r="B339" t="s">
        <v>27</v>
      </c>
      <c r="C339" t="s">
        <v>12</v>
      </c>
      <c r="D339">
        <v>7293</v>
      </c>
      <c r="E339">
        <v>14.19</v>
      </c>
      <c r="F339">
        <v>379.95</v>
      </c>
    </row>
    <row r="340" spans="1:6">
      <c r="A340" s="5">
        <v>2022</v>
      </c>
      <c r="B340" t="s">
        <v>27</v>
      </c>
      <c r="C340" t="s">
        <v>13</v>
      </c>
      <c r="D340">
        <v>7457</v>
      </c>
      <c r="E340">
        <v>39.5</v>
      </c>
      <c r="F340">
        <v>362.48</v>
      </c>
    </row>
    <row r="341" spans="1:6">
      <c r="A341" s="5">
        <v>2022</v>
      </c>
      <c r="B341" t="s">
        <v>27</v>
      </c>
      <c r="C341" t="s">
        <v>14</v>
      </c>
      <c r="D341">
        <v>8509</v>
      </c>
      <c r="E341">
        <v>17.29</v>
      </c>
      <c r="F341">
        <v>470.74</v>
      </c>
    </row>
    <row r="342" spans="1:6">
      <c r="A342" s="5">
        <v>2022</v>
      </c>
      <c r="B342" t="s">
        <v>27</v>
      </c>
      <c r="C342" t="s">
        <v>15</v>
      </c>
      <c r="D342">
        <v>5777</v>
      </c>
      <c r="E342">
        <v>32.56</v>
      </c>
      <c r="F342">
        <v>305.26</v>
      </c>
    </row>
    <row r="343" spans="1:6">
      <c r="A343" s="5">
        <v>2022</v>
      </c>
      <c r="B343" t="s">
        <v>27</v>
      </c>
      <c r="C343" t="s">
        <v>16</v>
      </c>
      <c r="D343">
        <v>4854</v>
      </c>
      <c r="E343">
        <v>43.63</v>
      </c>
      <c r="F343">
        <v>241.35</v>
      </c>
    </row>
    <row r="344" spans="1:6">
      <c r="A344" s="5">
        <v>2022</v>
      </c>
      <c r="B344" t="s">
        <v>27</v>
      </c>
      <c r="C344" t="s">
        <v>7</v>
      </c>
      <c r="D344">
        <v>3491</v>
      </c>
      <c r="E344">
        <v>13.57</v>
      </c>
      <c r="F344">
        <v>213.14</v>
      </c>
    </row>
    <row r="345" spans="1:6">
      <c r="A345" s="5">
        <v>2022</v>
      </c>
      <c r="B345" t="s">
        <v>27</v>
      </c>
      <c r="C345" t="s">
        <v>8</v>
      </c>
      <c r="D345">
        <v>4124</v>
      </c>
      <c r="E345">
        <v>31.41</v>
      </c>
      <c r="F345">
        <v>237.07</v>
      </c>
    </row>
    <row r="346" spans="1:6">
      <c r="A346" s="5">
        <v>2022</v>
      </c>
      <c r="B346" t="s">
        <v>27</v>
      </c>
      <c r="C346" t="s">
        <v>9</v>
      </c>
      <c r="D346">
        <v>6691</v>
      </c>
      <c r="E346">
        <v>19.329999999999998</v>
      </c>
      <c r="F346">
        <v>359.41</v>
      </c>
    </row>
    <row r="347" spans="1:6">
      <c r="A347" s="5">
        <v>2022</v>
      </c>
      <c r="B347" t="s">
        <v>27</v>
      </c>
      <c r="C347" t="s">
        <v>10</v>
      </c>
      <c r="D347">
        <v>4051</v>
      </c>
      <c r="E347">
        <v>23.72</v>
      </c>
      <c r="F347">
        <v>225.18</v>
      </c>
    </row>
    <row r="348" spans="1:6">
      <c r="A348" s="5">
        <v>2022</v>
      </c>
      <c r="B348" t="s">
        <v>27</v>
      </c>
      <c r="C348" t="s">
        <v>11</v>
      </c>
      <c r="D348">
        <v>1004</v>
      </c>
      <c r="E348">
        <v>28.96</v>
      </c>
      <c r="F348">
        <v>88.21</v>
      </c>
    </row>
    <row r="349" spans="1:6">
      <c r="A349" s="5">
        <v>2022</v>
      </c>
      <c r="B349" t="s">
        <v>27</v>
      </c>
      <c r="C349" t="s">
        <v>12</v>
      </c>
      <c r="D349">
        <v>6222</v>
      </c>
      <c r="E349">
        <v>24.2</v>
      </c>
      <c r="F349">
        <v>325.42</v>
      </c>
    </row>
    <row r="350" spans="1:6">
      <c r="A350" s="5">
        <v>2022</v>
      </c>
      <c r="B350" t="s">
        <v>27</v>
      </c>
      <c r="C350" t="s">
        <v>13</v>
      </c>
      <c r="D350">
        <v>6315</v>
      </c>
      <c r="E350">
        <v>35.950000000000003</v>
      </c>
      <c r="F350">
        <v>334.97</v>
      </c>
    </row>
    <row r="351" spans="1:6">
      <c r="A351" s="5">
        <v>2022</v>
      </c>
      <c r="B351" t="s">
        <v>27</v>
      </c>
      <c r="C351" t="s">
        <v>14</v>
      </c>
      <c r="D351">
        <v>5869</v>
      </c>
      <c r="E351">
        <v>29.18</v>
      </c>
      <c r="F351">
        <v>298.36</v>
      </c>
    </row>
    <row r="352" spans="1:6">
      <c r="A352" s="5">
        <v>2022</v>
      </c>
      <c r="B352" t="s">
        <v>27</v>
      </c>
      <c r="C352" t="s">
        <v>15</v>
      </c>
      <c r="D352">
        <v>1876</v>
      </c>
      <c r="E352">
        <v>33.369999999999997</v>
      </c>
      <c r="F352">
        <v>95.44</v>
      </c>
    </row>
    <row r="353" spans="1:6">
      <c r="A353" s="5">
        <v>2022</v>
      </c>
      <c r="B353" t="s">
        <v>27</v>
      </c>
      <c r="C353" t="s">
        <v>16</v>
      </c>
      <c r="D353">
        <v>8027</v>
      </c>
      <c r="E353">
        <v>39.47</v>
      </c>
      <c r="F353">
        <v>401.9</v>
      </c>
    </row>
    <row r="354" spans="1:6">
      <c r="A354" s="5">
        <v>2022</v>
      </c>
      <c r="B354" t="s">
        <v>27</v>
      </c>
      <c r="C354" t="s">
        <v>7</v>
      </c>
      <c r="D354">
        <v>5142</v>
      </c>
      <c r="E354">
        <v>32.31</v>
      </c>
      <c r="F354">
        <v>278.63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0951-A771-4D2E-8616-BC74A730E177}">
  <dimension ref="A3:B16"/>
  <sheetViews>
    <sheetView workbookViewId="0">
      <selection activeCell="E21" sqref="E21"/>
    </sheetView>
  </sheetViews>
  <sheetFormatPr defaultRowHeight="14.5"/>
  <cols>
    <col min="1" max="1" width="12.36328125" bestFit="1" customWidth="1"/>
    <col min="2" max="2" width="20.6328125" bestFit="1" customWidth="1"/>
  </cols>
  <sheetData>
    <row r="3" spans="1:2">
      <c r="A3" s="20" t="s">
        <v>70</v>
      </c>
      <c r="B3" t="s">
        <v>72</v>
      </c>
    </row>
    <row r="4" spans="1:2">
      <c r="A4" s="4" t="s">
        <v>6</v>
      </c>
      <c r="B4">
        <v>281.79064516129034</v>
      </c>
    </row>
    <row r="5" spans="1:2">
      <c r="A5" s="4" t="s">
        <v>17</v>
      </c>
      <c r="B5">
        <v>314.85928571428565</v>
      </c>
    </row>
    <row r="6" spans="1:2">
      <c r="A6" s="4" t="s">
        <v>18</v>
      </c>
      <c r="B6">
        <v>318.98612903225808</v>
      </c>
    </row>
    <row r="7" spans="1:2">
      <c r="A7" s="4" t="s">
        <v>19</v>
      </c>
      <c r="B7">
        <v>324.78199999999998</v>
      </c>
    </row>
    <row r="8" spans="1:2">
      <c r="A8" s="4" t="s">
        <v>20</v>
      </c>
      <c r="B8">
        <v>295.53419354838712</v>
      </c>
    </row>
    <row r="9" spans="1:2">
      <c r="A9" s="4" t="s">
        <v>21</v>
      </c>
      <c r="B9">
        <v>282.35566666666665</v>
      </c>
    </row>
    <row r="10" spans="1:2">
      <c r="A10" s="4" t="s">
        <v>22</v>
      </c>
      <c r="B10">
        <v>301.21645161290326</v>
      </c>
    </row>
    <row r="11" spans="1:2">
      <c r="A11" s="4" t="s">
        <v>23</v>
      </c>
      <c r="B11">
        <v>280.57193548387096</v>
      </c>
    </row>
    <row r="12" spans="1:2">
      <c r="A12" s="4" t="s">
        <v>24</v>
      </c>
      <c r="B12">
        <v>313.97233333333327</v>
      </c>
    </row>
    <row r="13" spans="1:2">
      <c r="A13" s="4" t="s">
        <v>25</v>
      </c>
      <c r="B13">
        <v>230.03903225806454</v>
      </c>
    </row>
    <row r="14" spans="1:2">
      <c r="A14" s="4" t="s">
        <v>26</v>
      </c>
      <c r="B14">
        <v>307.55500000000006</v>
      </c>
    </row>
    <row r="15" spans="1:2">
      <c r="A15" s="4" t="s">
        <v>27</v>
      </c>
      <c r="B15">
        <v>282.91419354838712</v>
      </c>
    </row>
    <row r="16" spans="1:2">
      <c r="A16" s="4" t="s">
        <v>71</v>
      </c>
      <c r="B16">
        <v>293.71188034188015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BOX AND WHISKER </vt:lpstr>
      <vt:lpstr>CORRELATION ANALYSIS</vt:lpstr>
      <vt:lpstr>REGRESSION ANALYSIS</vt:lpstr>
      <vt:lpstr>FORECASTING FUTURE DEMAND</vt:lpstr>
      <vt:lpstr>SEASONAL AVERAGES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Aarav Gupta</cp:lastModifiedBy>
  <dcterms:created xsi:type="dcterms:W3CDTF">2026-04-17T17:12:00Z</dcterms:created>
  <dcterms:modified xsi:type="dcterms:W3CDTF">2026-08-27T17:36:20Z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FC179131A21A4685BCA6F6A1DE635FA9_13</vt:lpwstr>
  </property>
  <property fmtid="{D5CDD505-2E9C-101B-9397-08002B2CF9AE}" pid="3" name="KSOProductBuildVer">
    <vt:lpwstr>1033-12.2.0.23196</vt:lpwstr>
  </property>
</Properties>
</file>
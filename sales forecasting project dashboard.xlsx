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000" firstSheet="1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8" sheetId="8" r:id="rId6"/>
    <sheet name="Sheet6" sheetId="6" r:id="rId7"/>
    <sheet name="Sheet7" sheetId="7" r:id="rId8"/>
    <sheet name="Sheet7 (2)" sheetId="9" r:id="rId9"/>
  </sheets>
  <externalReferences>
    <externalReference r:id="rId10"/>
  </externalReferences>
  <definedNames>
    <definedName name="_xlnm.Print_Area" localSheetId="4">Sheet5!$G$3</definedName>
    <definedName name="_xlnm.Print_Area" localSheetId="8">'Sheet7 (2)'!$E$4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<sst xmlns="http://schemas.openxmlformats.org/spreadsheetml/2006/main" count="4991" uniqueCount="86">
  <si>
    <t>ABC Retail Pvt Ltd - Sales Forecasting Dataset (Includes December)</t>
  </si>
  <si>
    <t>Year</t>
  </si>
  <si>
    <t>Month</t>
  </si>
  <si>
    <t>SKU</t>
  </si>
  <si>
    <t>Marketing_Spend (INR)</t>
  </si>
  <si>
    <t>Price (INR/unit)</t>
  </si>
  <si>
    <t>Sales (Units)</t>
  </si>
  <si>
    <t>January</t>
  </si>
  <si>
    <t>SKU1000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</si>
  <si>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</si>
  <si>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</si>
  <si>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</si>
  <si>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</si>
  <si>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</si>
  <si>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</si>
  <si>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</si>
  <si>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</si>
  <si>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</si>
  <si>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</si>
  <si>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</si>
  <si>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</si>
  <si>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</si>
  <si>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</si>
  <si>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</si>
  <si>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</si>
  <si>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</si>
  <si>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</si>
  <si>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</si>
  <si>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</si>
  <si>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</si>
  <si>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Q3</t>
  </si>
  <si>
    <t>IQR</t>
  </si>
  <si>
    <t>Lower inner fence</t>
  </si>
  <si>
    <t>Lower outer fence</t>
  </si>
  <si>
    <t>cleaned dataset</t>
  </si>
  <si>
    <t>Price coeff(b2)</t>
  </si>
  <si>
    <t>Marketing coeff(b1)</t>
  </si>
  <si>
    <t>Intercept(a)</t>
  </si>
  <si>
    <t>Sales= a+b1(marketing spend)-b2(price)</t>
  </si>
  <si>
    <t>Sales= 52.43+0.05(marketing spend)-1.15(price)</t>
  </si>
  <si>
    <t>monthly</t>
  </si>
  <si>
    <t>marketing spend</t>
  </si>
  <si>
    <t>price</t>
  </si>
  <si>
    <t>sales</t>
  </si>
  <si>
    <t>quaterly</t>
  </si>
  <si>
    <t>jan (2023)</t>
  </si>
  <si>
    <t>feb(2023)</t>
  </si>
  <si>
    <t>march(2023)</t>
  </si>
  <si>
    <t>total</t>
  </si>
  <si>
    <t>yearly (2023)</t>
  </si>
  <si>
    <t>Sales (Units), actual sales</t>
  </si>
  <si>
    <t>Forecasted sales</t>
  </si>
  <si>
    <t>Average actual montly sales</t>
  </si>
  <si>
    <t>average forecasted monthly sales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</si>
  <si>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</si>
  <si>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</si>
  <si>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</si>
  <si>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</si>
  <si>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</si>
  <si>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</si>
  <si>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</si>
  <si>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</si>
  <si>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</si>
  <si>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</si>
  <si>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</si>
  <si>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correlation</t>
  </si>
  <si>
    <t>marketing spend vs sales</t>
  </si>
  <si>
    <t>weak negative correlation</t>
  </si>
  <si>
    <t>price vs sales</t>
  </si>
  <si>
    <t>coeff of determination</t>
  </si>
  <si>
    <t>weak</t>
  </si>
  <si>
    <t>Sales Forecasting &amp; Regression Analysis Dashboard</t>
  </si>
  <si>
    <t>Statistical Analysis</t>
  </si>
  <si>
    <r>
      <rPr>
        <b/>
        <sz val="11"/>
        <color theme="1"/>
        <rFont val="Calibri"/>
        <charset val="134"/>
        <scheme val="minor"/>
      </rPr>
      <t xml:space="preserve">Forecasted monthly sales
</t>
    </r>
    <r>
      <rPr>
        <b/>
        <sz val="18"/>
        <color theme="1"/>
        <rFont val="Calibri"/>
        <charset val="134"/>
        <scheme val="minor"/>
      </rPr>
      <t>397.57 Units</t>
    </r>
  </si>
  <si>
    <r>
      <rPr>
        <b/>
        <sz val="11"/>
        <color theme="1"/>
        <rFont val="Calibri"/>
        <charset val="134"/>
        <scheme val="minor"/>
      </rPr>
      <t xml:space="preserve">Forecasted quaterly sales
</t>
    </r>
    <r>
      <rPr>
        <b/>
        <sz val="18"/>
        <color theme="1"/>
        <rFont val="Calibri"/>
        <charset val="134"/>
        <scheme val="minor"/>
      </rPr>
      <t>1195.08 Units</t>
    </r>
  </si>
  <si>
    <r>
      <rPr>
        <b/>
        <sz val="11"/>
        <color theme="1"/>
        <rFont val="Calibri"/>
        <charset val="134"/>
        <scheme val="minor"/>
      </rPr>
      <t xml:space="preserve">Forecasted yearly sales
</t>
    </r>
    <r>
      <rPr>
        <b/>
        <sz val="18"/>
        <color theme="1"/>
        <rFont val="Calibri"/>
        <charset val="134"/>
        <scheme val="minor"/>
      </rPr>
      <t>10283.91 Units</t>
    </r>
  </si>
  <si>
    <r>
      <rPr>
        <b/>
        <sz val="11"/>
        <color theme="1"/>
        <rFont val="Calibri"/>
        <charset val="134"/>
        <scheme val="minor"/>
      </rPr>
      <t xml:space="preserve">Marketing Correlation
</t>
    </r>
    <r>
      <rPr>
        <b/>
        <sz val="12"/>
        <color theme="1"/>
        <rFont val="Calibri"/>
        <charset val="134"/>
        <scheme val="minor"/>
      </rPr>
      <t>-0.08</t>
    </r>
    <r>
      <rPr>
        <b/>
        <sz val="11"/>
        <color theme="1"/>
        <rFont val="Calibri"/>
        <charset val="134"/>
        <scheme val="minor"/>
      </rPr>
      <t xml:space="preserve">
Weak Negative</t>
    </r>
  </si>
  <si>
    <r>
      <rPr>
        <b/>
        <sz val="11"/>
        <color theme="1"/>
        <rFont val="Calibri"/>
        <charset val="134"/>
        <scheme val="minor"/>
      </rPr>
      <t xml:space="preserve">Price  Correlation
</t>
    </r>
    <r>
      <rPr>
        <b/>
        <sz val="12"/>
        <color theme="1"/>
        <rFont val="Calibri"/>
        <charset val="134"/>
        <scheme val="minor"/>
      </rPr>
      <t>-0.09</t>
    </r>
    <r>
      <rPr>
        <b/>
        <sz val="11"/>
        <color theme="1"/>
        <rFont val="Calibri"/>
        <charset val="134"/>
        <scheme val="minor"/>
      </rPr>
      <t xml:space="preserve">
Weak Negative</t>
    </r>
  </si>
  <si>
    <t>Data Cleaning
↓
Regression
↓
Forecasting
↓
Insights</t>
  </si>
  <si>
    <t>Regression Analysis</t>
  </si>
  <si>
    <t>R² Value(marketing)
0.006
Weak</t>
  </si>
  <si>
    <t>R² Value(price)
0.009
Weak</t>
  </si>
  <si>
    <r>
      <rPr>
        <b/>
        <sz val="18"/>
        <color theme="1"/>
        <rFont val="Calibri"/>
        <charset val="134"/>
        <scheme val="minor"/>
      </rPr>
      <t>Key Insights</t>
    </r>
    <r>
      <rPr>
        <sz val="11"/>
        <color theme="1"/>
        <rFont val="Calibri"/>
        <charset val="134"/>
        <scheme val="minor"/>
      </rPr>
      <t xml:space="preserve">
</t>
    </r>
    <r>
      <rPr>
        <sz val="18"/>
        <color theme="1"/>
        <rFont val="Calibri"/>
        <charset val="134"/>
        <scheme val="minor"/>
      </rPr>
      <t>1.Marketing spend shows weak negative correlation with sales (-0.08).
2.Price has weak negative relationship with sales (-0.09).
3.“Low R² values (&lt;1%) indicate that marketing spend and price alone explain very little variation in sales, suggesting additional factors such as seasonality, promotions, or SKU differences affect demand.”</t>
    </r>
  </si>
  <si>
    <r>
      <rPr>
        <b/>
        <sz val="22"/>
        <color theme="1"/>
        <rFont val="Calibri"/>
        <charset val="134"/>
        <scheme val="minor"/>
      </rPr>
      <t>Business recommendation</t>
    </r>
    <r>
      <rPr>
        <sz val="11"/>
        <color theme="1"/>
        <rFont val="Calibri"/>
        <charset val="134"/>
        <scheme val="minor"/>
      </rPr>
      <t xml:space="preserve">
</t>
    </r>
    <r>
      <rPr>
        <sz val="22"/>
        <color theme="1"/>
        <rFont val="Calibri"/>
        <charset val="134"/>
        <scheme val="minor"/>
      </rPr>
      <t>1.Include seasonality, promotions, and SKU-specific behavior to improve forecasting accuracy.
2.Optimize pricing and evaluate marketing effectiveness using additional variables.</t>
    </r>
  </si>
  <si>
    <t>Sales forecasting and regression analysis dashboard</t>
  </si>
  <si>
    <r>
      <rPr>
        <b/>
        <sz val="18"/>
        <color theme="1"/>
        <rFont val="Calibri"/>
        <charset val="134"/>
        <scheme val="minor"/>
      </rPr>
      <t>Key Insights</t>
    </r>
    <r>
      <rPr>
        <sz val="11"/>
        <color theme="1"/>
        <rFont val="Calibri"/>
        <charset val="134"/>
        <scheme val="minor"/>
      </rPr>
      <t xml:space="preserve">
</t>
    </r>
    <r>
      <rPr>
        <sz val="18"/>
        <color theme="1"/>
        <rFont val="Calibri"/>
        <charset val="134"/>
        <scheme val="minor"/>
      </rPr>
      <t>1.Marketing spend shows weak negative correlation with sales (-0.08).
2.Price has weak negative relationship with sales (-0.09).
3.Low R² values (&lt;1%) suggest seasonality, promotions, and SKU differences influence demand more than marketing spend or price.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</si>
</sst>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00_ "/>
  </numFmts>
  <fonts count="31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32" applyNumberFormat="0" applyAlignment="0" applyProtection="0">
      <alignment vertical="center"/>
    </xf>
    <xf numFmtId="0" fontId="19" fillId="11" borderId="33" applyNumberFormat="0" applyAlignment="0" applyProtection="0">
      <alignment vertical="center"/>
    </xf>
    <xf numFmtId="0" fontId="20" fillId="11" borderId="32" applyNumberFormat="0" applyAlignment="0" applyProtection="0">
      <alignment vertical="center"/>
    </xf>
    <xf numFmtId="0" fontId="21" fillId="12" borderId="34" applyNumberFormat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14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Border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2" borderId="9" xfId="0" applyFont="1" applyFill="1" applyBorder="1" applyAlignment="1">
      <alignment horizont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0" fillId="6" borderId="2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6" fillId="7" borderId="1" xfId="0" applyFont="1" applyFill="1" applyBorder="1" applyAlignment="1">
      <alignment wrapText="1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0" borderId="0" xfId="0" applyBorder="1"/>
    <xf numFmtId="180" fontId="0" fillId="0" borderId="0" xfId="0" applyNumberFormat="1" applyBorder="1"/>
    <xf numFmtId="0" fontId="0" fillId="5" borderId="2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5" borderId="0" xfId="0" applyFont="1" applyFill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181" fontId="0" fillId="0" borderId="0" xfId="0" applyNumberFormat="1" applyBorder="1"/>
    <xf numFmtId="0" fontId="0" fillId="5" borderId="6" xfId="0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6" xfId="0" applyFill="1" applyBorder="1"/>
    <xf numFmtId="0" fontId="0" fillId="7" borderId="8" xfId="0" applyFill="1" applyBorder="1"/>
    <xf numFmtId="0" fontId="3" fillId="0" borderId="0" xfId="0" applyFont="1" applyAlignment="1">
      <alignment horizontal="center"/>
    </xf>
    <xf numFmtId="0" fontId="3" fillId="8" borderId="18" xfId="0" applyFont="1" applyFill="1" applyBorder="1" applyAlignment="1">
      <alignment horizontal="center" wrapText="1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2" fillId="4" borderId="18" xfId="0" applyFont="1" applyFill="1" applyBorder="1" applyAlignment="1">
      <alignment horizontal="center" wrapText="1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22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 applyBorder="1"/>
    <xf numFmtId="0" fontId="9" fillId="0" borderId="13" xfId="0" applyFont="1" applyBorder="1" applyAlignment="1">
      <alignment horizontal="center" vertical="top"/>
    </xf>
    <xf numFmtId="0" fontId="5" fillId="0" borderId="26" xfId="0" applyFont="1" applyBorder="1"/>
    <xf numFmtId="0" fontId="0" fillId="0" borderId="13" xfId="0" applyBorder="1"/>
    <xf numFmtId="180" fontId="0" fillId="0" borderId="13" xfId="0" applyNumberFormat="1" applyBorder="1"/>
    <xf numFmtId="181" fontId="0" fillId="0" borderId="13" xfId="0" applyNumberFormat="1" applyBorder="1"/>
    <xf numFmtId="0" fontId="5" fillId="0" borderId="27" xfId="0" applyFont="1" applyBorder="1"/>
    <xf numFmtId="0" fontId="5" fillId="0" borderId="13" xfId="0" applyFont="1" applyBorder="1"/>
    <xf numFmtId="0" fontId="5" fillId="0" borderId="0" xfId="0" applyFont="1"/>
    <xf numFmtId="180" fontId="0" fillId="0" borderId="0" xfId="0" applyNumberFormat="1"/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Sheet4!$F$4:$F$349</c:f>
              <c:numCache>
                <c:formatCode>General</c:formatCode>
                <c:ptCount val="346"/>
                <c:pt idx="0">
                  <c:v>416.07</c:v>
                </c:pt>
                <c:pt idx="1">
                  <c:v>91.93</c:v>
                </c:pt>
                <c:pt idx="2">
                  <c:v>255.73</c:v>
                </c:pt>
                <c:pt idx="3">
                  <c:v>341.12</c:v>
                </c:pt>
                <c:pt idx="4">
                  <c:v>488.17</c:v>
                </c:pt>
                <c:pt idx="5">
                  <c:v>159.28</c:v>
                </c:pt>
                <c:pt idx="6">
                  <c:v>77.01</c:v>
                </c:pt>
                <c:pt idx="7">
                  <c:v>430.84</c:v>
                </c:pt>
                <c:pt idx="8">
                  <c:v>179.51</c:v>
                </c:pt>
                <c:pt idx="9">
                  <c:v>386.66</c:v>
                </c:pt>
                <c:pt idx="10">
                  <c:v>295.13</c:v>
                </c:pt>
                <c:pt idx="11">
                  <c:v>399.09</c:v>
                </c:pt>
                <c:pt idx="12">
                  <c:v>152.33</c:v>
                </c:pt>
                <c:pt idx="13">
                  <c:v>276.32</c:v>
                </c:pt>
                <c:pt idx="14">
                  <c:v>300.81</c:v>
                </c:pt>
                <c:pt idx="15">
                  <c:v>354.32</c:v>
                </c:pt>
                <c:pt idx="16">
                  <c:v>500.55</c:v>
                </c:pt>
                <c:pt idx="17">
                  <c:v>203.91</c:v>
                </c:pt>
                <c:pt idx="18">
                  <c:v>432.61</c:v>
                </c:pt>
                <c:pt idx="19">
                  <c:v>206.38</c:v>
                </c:pt>
                <c:pt idx="20">
                  <c:v>195.63</c:v>
                </c:pt>
                <c:pt idx="21">
                  <c:v>90.89</c:v>
                </c:pt>
                <c:pt idx="22">
                  <c:v>200.3</c:v>
                </c:pt>
                <c:pt idx="23">
                  <c:v>245.92</c:v>
                </c:pt>
                <c:pt idx="24">
                  <c:v>315.35</c:v>
                </c:pt>
                <c:pt idx="25">
                  <c:v>184.18</c:v>
                </c:pt>
                <c:pt idx="26">
                  <c:v>436.6</c:v>
                </c:pt>
                <c:pt idx="27">
                  <c:v>131.87</c:v>
                </c:pt>
                <c:pt idx="28">
                  <c:v>106.68</c:v>
                </c:pt>
                <c:pt idx="29">
                  <c:v>258.72</c:v>
                </c:pt>
                <c:pt idx="30">
                  <c:v>313.76</c:v>
                </c:pt>
                <c:pt idx="31">
                  <c:v>541.61</c:v>
                </c:pt>
                <c:pt idx="32">
                  <c:v>300.76</c:v>
                </c:pt>
                <c:pt idx="33">
                  <c:v>536.67</c:v>
                </c:pt>
                <c:pt idx="34">
                  <c:v>480.94</c:v>
                </c:pt>
                <c:pt idx="35">
                  <c:v>437.08</c:v>
                </c:pt>
                <c:pt idx="36">
                  <c:v>190.6</c:v>
                </c:pt>
                <c:pt idx="37">
                  <c:v>446.77</c:v>
                </c:pt>
                <c:pt idx="38">
                  <c:v>367.07</c:v>
                </c:pt>
                <c:pt idx="39">
                  <c:v>333.42</c:v>
                </c:pt>
                <c:pt idx="40">
                  <c:v>427.54</c:v>
                </c:pt>
                <c:pt idx="41">
                  <c:v>139.38</c:v>
                </c:pt>
                <c:pt idx="42">
                  <c:v>450.71</c:v>
                </c:pt>
                <c:pt idx="43">
                  <c:v>233.14</c:v>
                </c:pt>
                <c:pt idx="44">
                  <c:v>151.31</c:v>
                </c:pt>
                <c:pt idx="45">
                  <c:v>267.58</c:v>
                </c:pt>
                <c:pt idx="46">
                  <c:v>448.95</c:v>
                </c:pt>
                <c:pt idx="47">
                  <c:v>187.49</c:v>
                </c:pt>
                <c:pt idx="48">
                  <c:v>102.9</c:v>
                </c:pt>
                <c:pt idx="49">
                  <c:v>251.59</c:v>
                </c:pt>
                <c:pt idx="50">
                  <c:v>431.08</c:v>
                </c:pt>
                <c:pt idx="51">
                  <c:v>387.72</c:v>
                </c:pt>
                <c:pt idx="52">
                  <c:v>351.41</c:v>
                </c:pt>
                <c:pt idx="53">
                  <c:v>102.71</c:v>
                </c:pt>
                <c:pt idx="54">
                  <c:v>313.18</c:v>
                </c:pt>
                <c:pt idx="55">
                  <c:v>134.26</c:v>
                </c:pt>
                <c:pt idx="56">
                  <c:v>422.09</c:v>
                </c:pt>
                <c:pt idx="57">
                  <c:v>113.76</c:v>
                </c:pt>
                <c:pt idx="58">
                  <c:v>458.18</c:v>
                </c:pt>
                <c:pt idx="59">
                  <c:v>332.15</c:v>
                </c:pt>
                <c:pt idx="60">
                  <c:v>502.9</c:v>
                </c:pt>
                <c:pt idx="61">
                  <c:v>380.78</c:v>
                </c:pt>
                <c:pt idx="62">
                  <c:v>493.44</c:v>
                </c:pt>
                <c:pt idx="63">
                  <c:v>510.08</c:v>
                </c:pt>
                <c:pt idx="64">
                  <c:v>83.24</c:v>
                </c:pt>
                <c:pt idx="65">
                  <c:v>256.89</c:v>
                </c:pt>
                <c:pt idx="66">
                  <c:v>343.45</c:v>
                </c:pt>
                <c:pt idx="67">
                  <c:v>397.37</c:v>
                </c:pt>
                <c:pt idx="68">
                  <c:v>480.43</c:v>
                </c:pt>
                <c:pt idx="69">
                  <c:v>471.84</c:v>
                </c:pt>
                <c:pt idx="70">
                  <c:v>442.3</c:v>
                </c:pt>
                <c:pt idx="71">
                  <c:v>339.03</c:v>
                </c:pt>
                <c:pt idx="72">
                  <c:v>188.38</c:v>
                </c:pt>
                <c:pt idx="73">
                  <c:v>67.53</c:v>
                </c:pt>
                <c:pt idx="74">
                  <c:v>503.24</c:v>
                </c:pt>
                <c:pt idx="75">
                  <c:v>190.84</c:v>
                </c:pt>
                <c:pt idx="76">
                  <c:v>373.68</c:v>
                </c:pt>
                <c:pt idx="77">
                  <c:v>162.25</c:v>
                </c:pt>
                <c:pt idx="78">
                  <c:v>167.8</c:v>
                </c:pt>
                <c:pt idx="79">
                  <c:v>323.56</c:v>
                </c:pt>
                <c:pt idx="80">
                  <c:v>385.39</c:v>
                </c:pt>
                <c:pt idx="81">
                  <c:v>389.39</c:v>
                </c:pt>
                <c:pt idx="82">
                  <c:v>85.12</c:v>
                </c:pt>
                <c:pt idx="83">
                  <c:v>302.58</c:v>
                </c:pt>
                <c:pt idx="84">
                  <c:v>273.44</c:v>
                </c:pt>
                <c:pt idx="85">
                  <c:v>430.34</c:v>
                </c:pt>
                <c:pt idx="86">
                  <c:v>196.41</c:v>
                </c:pt>
                <c:pt idx="87">
                  <c:v>423.77</c:v>
                </c:pt>
                <c:pt idx="88">
                  <c:v>484.28</c:v>
                </c:pt>
                <c:pt idx="89">
                  <c:v>180.29</c:v>
                </c:pt>
                <c:pt idx="90">
                  <c:v>408.41</c:v>
                </c:pt>
                <c:pt idx="91">
                  <c:v>201.79</c:v>
                </c:pt>
                <c:pt idx="92">
                  <c:v>566.35</c:v>
                </c:pt>
                <c:pt idx="93">
                  <c:v>220.78</c:v>
                </c:pt>
                <c:pt idx="94">
                  <c:v>501.4</c:v>
                </c:pt>
                <c:pt idx="95">
                  <c:v>293.41</c:v>
                </c:pt>
                <c:pt idx="96">
                  <c:v>461.19</c:v>
                </c:pt>
                <c:pt idx="97">
                  <c:v>232.12</c:v>
                </c:pt>
                <c:pt idx="98">
                  <c:v>122.5</c:v>
                </c:pt>
                <c:pt idx="99">
                  <c:v>469.92</c:v>
                </c:pt>
                <c:pt idx="100">
                  <c:v>71.34</c:v>
                </c:pt>
                <c:pt idx="101">
                  <c:v>410.19</c:v>
                </c:pt>
                <c:pt idx="102">
                  <c:v>399.13</c:v>
                </c:pt>
                <c:pt idx="103">
                  <c:v>248.96</c:v>
                </c:pt>
                <c:pt idx="104">
                  <c:v>69.91</c:v>
                </c:pt>
                <c:pt idx="105">
                  <c:v>309.49</c:v>
                </c:pt>
                <c:pt idx="106">
                  <c:v>389.22</c:v>
                </c:pt>
                <c:pt idx="107">
                  <c:v>457.5</c:v>
                </c:pt>
                <c:pt idx="108">
                  <c:v>425.44</c:v>
                </c:pt>
                <c:pt idx="109">
                  <c:v>141.66</c:v>
                </c:pt>
                <c:pt idx="110">
                  <c:v>446.54</c:v>
                </c:pt>
                <c:pt idx="111">
                  <c:v>96.24</c:v>
                </c:pt>
                <c:pt idx="112">
                  <c:v>160.1</c:v>
                </c:pt>
                <c:pt idx="113">
                  <c:v>431.65</c:v>
                </c:pt>
                <c:pt idx="114">
                  <c:v>493.13</c:v>
                </c:pt>
                <c:pt idx="115">
                  <c:v>327.06</c:v>
                </c:pt>
                <c:pt idx="116">
                  <c:v>328.38</c:v>
                </c:pt>
                <c:pt idx="117">
                  <c:v>140.37</c:v>
                </c:pt>
                <c:pt idx="118">
                  <c:v>451.41</c:v>
                </c:pt>
                <c:pt idx="119">
                  <c:v>353.02</c:v>
                </c:pt>
                <c:pt idx="120">
                  <c:v>411.32</c:v>
                </c:pt>
                <c:pt idx="121">
                  <c:v>159.06</c:v>
                </c:pt>
                <c:pt idx="122">
                  <c:v>198.66</c:v>
                </c:pt>
                <c:pt idx="123">
                  <c:v>285.47</c:v>
                </c:pt>
                <c:pt idx="124">
                  <c:v>116.92</c:v>
                </c:pt>
                <c:pt idx="125">
                  <c:v>396.6</c:v>
                </c:pt>
                <c:pt idx="126">
                  <c:v>204.83</c:v>
                </c:pt>
                <c:pt idx="127">
                  <c:v>354.43</c:v>
                </c:pt>
                <c:pt idx="128">
                  <c:v>213.62</c:v>
                </c:pt>
                <c:pt idx="129">
                  <c:v>246.49</c:v>
                </c:pt>
                <c:pt idx="130">
                  <c:v>323.95</c:v>
                </c:pt>
                <c:pt idx="131">
                  <c:v>140.23</c:v>
                </c:pt>
                <c:pt idx="132">
                  <c:v>348.5</c:v>
                </c:pt>
                <c:pt idx="133">
                  <c:v>432.04</c:v>
                </c:pt>
                <c:pt idx="134">
                  <c:v>143.52</c:v>
                </c:pt>
                <c:pt idx="135">
                  <c:v>371.92</c:v>
                </c:pt>
                <c:pt idx="136">
                  <c:v>325.84</c:v>
                </c:pt>
                <c:pt idx="137">
                  <c:v>461.85</c:v>
                </c:pt>
                <c:pt idx="138">
                  <c:v>489.76</c:v>
                </c:pt>
                <c:pt idx="139">
                  <c:v>383.87</c:v>
                </c:pt>
                <c:pt idx="140">
                  <c:v>315.1</c:v>
                </c:pt>
                <c:pt idx="141">
                  <c:v>276.85</c:v>
                </c:pt>
                <c:pt idx="142">
                  <c:v>274.87</c:v>
                </c:pt>
                <c:pt idx="143">
                  <c:v>91.44</c:v>
                </c:pt>
                <c:pt idx="144">
                  <c:v>135.84</c:v>
                </c:pt>
                <c:pt idx="145">
                  <c:v>458.34</c:v>
                </c:pt>
                <c:pt idx="146">
                  <c:v>114.66</c:v>
                </c:pt>
                <c:pt idx="147">
                  <c:v>259.34</c:v>
                </c:pt>
                <c:pt idx="148">
                  <c:v>257.38</c:v>
                </c:pt>
                <c:pt idx="149">
                  <c:v>321.19</c:v>
                </c:pt>
                <c:pt idx="150">
                  <c:v>110.74</c:v>
                </c:pt>
                <c:pt idx="151">
                  <c:v>353.01</c:v>
                </c:pt>
                <c:pt idx="152">
                  <c:v>145.03</c:v>
                </c:pt>
                <c:pt idx="153">
                  <c:v>233.62</c:v>
                </c:pt>
                <c:pt idx="154">
                  <c:v>453.31</c:v>
                </c:pt>
                <c:pt idx="155">
                  <c:v>440.11</c:v>
                </c:pt>
                <c:pt idx="156">
                  <c:v>138.39</c:v>
                </c:pt>
                <c:pt idx="157">
                  <c:v>302.19</c:v>
                </c:pt>
                <c:pt idx="158">
                  <c:v>138.96</c:v>
                </c:pt>
                <c:pt idx="159">
                  <c:v>309.6</c:v>
                </c:pt>
                <c:pt idx="160">
                  <c:v>33.97</c:v>
                </c:pt>
                <c:pt idx="161">
                  <c:v>468.13</c:v>
                </c:pt>
                <c:pt idx="162">
                  <c:v>347.01</c:v>
                </c:pt>
                <c:pt idx="163">
                  <c:v>399.31</c:v>
                </c:pt>
                <c:pt idx="164">
                  <c:v>383.28</c:v>
                </c:pt>
                <c:pt idx="165">
                  <c:v>318.39</c:v>
                </c:pt>
                <c:pt idx="166">
                  <c:v>362.95</c:v>
                </c:pt>
                <c:pt idx="167">
                  <c:v>130.24</c:v>
                </c:pt>
                <c:pt idx="168">
                  <c:v>352.46</c:v>
                </c:pt>
                <c:pt idx="169">
                  <c:v>377.05</c:v>
                </c:pt>
                <c:pt idx="170">
                  <c:v>257.68</c:v>
                </c:pt>
                <c:pt idx="171">
                  <c:v>244.47</c:v>
                </c:pt>
                <c:pt idx="172">
                  <c:v>77.64</c:v>
                </c:pt>
                <c:pt idx="173">
                  <c:v>339.92</c:v>
                </c:pt>
                <c:pt idx="174">
                  <c:v>524.74</c:v>
                </c:pt>
                <c:pt idx="175">
                  <c:v>275.9</c:v>
                </c:pt>
                <c:pt idx="176">
                  <c:v>133.28</c:v>
                </c:pt>
                <c:pt idx="177">
                  <c:v>472.62</c:v>
                </c:pt>
                <c:pt idx="178">
                  <c:v>218.74</c:v>
                </c:pt>
                <c:pt idx="179">
                  <c:v>450.16</c:v>
                </c:pt>
                <c:pt idx="180">
                  <c:v>64.3</c:v>
                </c:pt>
                <c:pt idx="181">
                  <c:v>441.73</c:v>
                </c:pt>
                <c:pt idx="182">
                  <c:v>166.79</c:v>
                </c:pt>
                <c:pt idx="183">
                  <c:v>363.36</c:v>
                </c:pt>
                <c:pt idx="184">
                  <c:v>493.88</c:v>
                </c:pt>
                <c:pt idx="185">
                  <c:v>298.57</c:v>
                </c:pt>
                <c:pt idx="186">
                  <c:v>168.18</c:v>
                </c:pt>
                <c:pt idx="187">
                  <c:v>116.09</c:v>
                </c:pt>
                <c:pt idx="188">
                  <c:v>226.87</c:v>
                </c:pt>
                <c:pt idx="189">
                  <c:v>457.48</c:v>
                </c:pt>
                <c:pt idx="190">
                  <c:v>417.17</c:v>
                </c:pt>
                <c:pt idx="191">
                  <c:v>179.37</c:v>
                </c:pt>
                <c:pt idx="192">
                  <c:v>498.1</c:v>
                </c:pt>
                <c:pt idx="193">
                  <c:v>252.1</c:v>
                </c:pt>
                <c:pt idx="194">
                  <c:v>151.12</c:v>
                </c:pt>
                <c:pt idx="195">
                  <c:v>153.83</c:v>
                </c:pt>
                <c:pt idx="196">
                  <c:v>491.13</c:v>
                </c:pt>
                <c:pt idx="197">
                  <c:v>214.28</c:v>
                </c:pt>
                <c:pt idx="198">
                  <c:v>199.87</c:v>
                </c:pt>
                <c:pt idx="199">
                  <c:v>359.75</c:v>
                </c:pt>
                <c:pt idx="200">
                  <c:v>402.59</c:v>
                </c:pt>
                <c:pt idx="201">
                  <c:v>179.91</c:v>
                </c:pt>
                <c:pt idx="202">
                  <c:v>306.35</c:v>
                </c:pt>
                <c:pt idx="203">
                  <c:v>137.31</c:v>
                </c:pt>
                <c:pt idx="204">
                  <c:v>472.26</c:v>
                </c:pt>
                <c:pt idx="205">
                  <c:v>451.52</c:v>
                </c:pt>
                <c:pt idx="206">
                  <c:v>399</c:v>
                </c:pt>
                <c:pt idx="207">
                  <c:v>355.5</c:v>
                </c:pt>
                <c:pt idx="208">
                  <c:v>244.46</c:v>
                </c:pt>
                <c:pt idx="209">
                  <c:v>97.8</c:v>
                </c:pt>
                <c:pt idx="210">
                  <c:v>381.05</c:v>
                </c:pt>
                <c:pt idx="211">
                  <c:v>465.57</c:v>
                </c:pt>
                <c:pt idx="212">
                  <c:v>204.78</c:v>
                </c:pt>
                <c:pt idx="213">
                  <c:v>335.52</c:v>
                </c:pt>
                <c:pt idx="214">
                  <c:v>272.53</c:v>
                </c:pt>
                <c:pt idx="215">
                  <c:v>182.71</c:v>
                </c:pt>
                <c:pt idx="216">
                  <c:v>414.14</c:v>
                </c:pt>
                <c:pt idx="217">
                  <c:v>460.9</c:v>
                </c:pt>
                <c:pt idx="218">
                  <c:v>257.19</c:v>
                </c:pt>
                <c:pt idx="219">
                  <c:v>213.33</c:v>
                </c:pt>
                <c:pt idx="220">
                  <c:v>155.84</c:v>
                </c:pt>
                <c:pt idx="221">
                  <c:v>336.27</c:v>
                </c:pt>
                <c:pt idx="222">
                  <c:v>372.08</c:v>
                </c:pt>
                <c:pt idx="223">
                  <c:v>357.01</c:v>
                </c:pt>
                <c:pt idx="224">
                  <c:v>134.34</c:v>
                </c:pt>
                <c:pt idx="225">
                  <c:v>319.74</c:v>
                </c:pt>
                <c:pt idx="226">
                  <c:v>218.3</c:v>
                </c:pt>
                <c:pt idx="227">
                  <c:v>464.17</c:v>
                </c:pt>
                <c:pt idx="228">
                  <c:v>185.79</c:v>
                </c:pt>
                <c:pt idx="229">
                  <c:v>340.98</c:v>
                </c:pt>
                <c:pt idx="230">
                  <c:v>68.4</c:v>
                </c:pt>
                <c:pt idx="231">
                  <c:v>206.39</c:v>
                </c:pt>
                <c:pt idx="232">
                  <c:v>205.65</c:v>
                </c:pt>
                <c:pt idx="233">
                  <c:v>337.7</c:v>
                </c:pt>
                <c:pt idx="234">
                  <c:v>273.05</c:v>
                </c:pt>
                <c:pt idx="235">
                  <c:v>244.51</c:v>
                </c:pt>
                <c:pt idx="236">
                  <c:v>95.15</c:v>
                </c:pt>
                <c:pt idx="237">
                  <c:v>496.88</c:v>
                </c:pt>
                <c:pt idx="238">
                  <c:v>382.92</c:v>
                </c:pt>
                <c:pt idx="239">
                  <c:v>425.76</c:v>
                </c:pt>
                <c:pt idx="240">
                  <c:v>317.84</c:v>
                </c:pt>
                <c:pt idx="241">
                  <c:v>318.12</c:v>
                </c:pt>
                <c:pt idx="242">
                  <c:v>245.08</c:v>
                </c:pt>
                <c:pt idx="243">
                  <c:v>369.48</c:v>
                </c:pt>
                <c:pt idx="244">
                  <c:v>133.87</c:v>
                </c:pt>
                <c:pt idx="245">
                  <c:v>270.95</c:v>
                </c:pt>
                <c:pt idx="246">
                  <c:v>329.15</c:v>
                </c:pt>
                <c:pt idx="247">
                  <c:v>288.56</c:v>
                </c:pt>
                <c:pt idx="248">
                  <c:v>464.84</c:v>
                </c:pt>
                <c:pt idx="249">
                  <c:v>247.66</c:v>
                </c:pt>
                <c:pt idx="250">
                  <c:v>117.7</c:v>
                </c:pt>
                <c:pt idx="251">
                  <c:v>393.99</c:v>
                </c:pt>
                <c:pt idx="252">
                  <c:v>119.58</c:v>
                </c:pt>
                <c:pt idx="253">
                  <c:v>227.11</c:v>
                </c:pt>
                <c:pt idx="254">
                  <c:v>447.96</c:v>
                </c:pt>
                <c:pt idx="255">
                  <c:v>358.79</c:v>
                </c:pt>
                <c:pt idx="256">
                  <c:v>203.03</c:v>
                </c:pt>
                <c:pt idx="257">
                  <c:v>77.55</c:v>
                </c:pt>
                <c:pt idx="258">
                  <c:v>281.11</c:v>
                </c:pt>
                <c:pt idx="259">
                  <c:v>370.08</c:v>
                </c:pt>
                <c:pt idx="260">
                  <c:v>356.61</c:v>
                </c:pt>
                <c:pt idx="261">
                  <c:v>432.01</c:v>
                </c:pt>
                <c:pt idx="262">
                  <c:v>410.26</c:v>
                </c:pt>
                <c:pt idx="263">
                  <c:v>313.82</c:v>
                </c:pt>
                <c:pt idx="264">
                  <c:v>460.27</c:v>
                </c:pt>
                <c:pt idx="265">
                  <c:v>468.16</c:v>
                </c:pt>
                <c:pt idx="266">
                  <c:v>428.3</c:v>
                </c:pt>
                <c:pt idx="267">
                  <c:v>158.61</c:v>
                </c:pt>
                <c:pt idx="268">
                  <c:v>90.04</c:v>
                </c:pt>
                <c:pt idx="269">
                  <c:v>251.43</c:v>
                </c:pt>
                <c:pt idx="270">
                  <c:v>120.78</c:v>
                </c:pt>
                <c:pt idx="271">
                  <c:v>150.07</c:v>
                </c:pt>
                <c:pt idx="272">
                  <c:v>256.72</c:v>
                </c:pt>
                <c:pt idx="273">
                  <c:v>126.54</c:v>
                </c:pt>
                <c:pt idx="274">
                  <c:v>102.28</c:v>
                </c:pt>
                <c:pt idx="275">
                  <c:v>246.58</c:v>
                </c:pt>
                <c:pt idx="276">
                  <c:v>140.27</c:v>
                </c:pt>
                <c:pt idx="277">
                  <c:v>341.67</c:v>
                </c:pt>
                <c:pt idx="278">
                  <c:v>101.68</c:v>
                </c:pt>
                <c:pt idx="279">
                  <c:v>114.11</c:v>
                </c:pt>
                <c:pt idx="280">
                  <c:v>207.01</c:v>
                </c:pt>
                <c:pt idx="281">
                  <c:v>367.1</c:v>
                </c:pt>
                <c:pt idx="282">
                  <c:v>117.3</c:v>
                </c:pt>
                <c:pt idx="283">
                  <c:v>181.81</c:v>
                </c:pt>
                <c:pt idx="284">
                  <c:v>243.47</c:v>
                </c:pt>
                <c:pt idx="285">
                  <c:v>477.67</c:v>
                </c:pt>
                <c:pt idx="286">
                  <c:v>147.29</c:v>
                </c:pt>
                <c:pt idx="287">
                  <c:v>334.88</c:v>
                </c:pt>
                <c:pt idx="288">
                  <c:v>395.64</c:v>
                </c:pt>
                <c:pt idx="289">
                  <c:v>96.88</c:v>
                </c:pt>
                <c:pt idx="290">
                  <c:v>324.02</c:v>
                </c:pt>
                <c:pt idx="291">
                  <c:v>199.14</c:v>
                </c:pt>
                <c:pt idx="292">
                  <c:v>130.95</c:v>
                </c:pt>
                <c:pt idx="293">
                  <c:v>291.54</c:v>
                </c:pt>
                <c:pt idx="294">
                  <c:v>470.01</c:v>
                </c:pt>
                <c:pt idx="295">
                  <c:v>305.22</c:v>
                </c:pt>
                <c:pt idx="296">
                  <c:v>105.72</c:v>
                </c:pt>
                <c:pt idx="297">
                  <c:v>233.18</c:v>
                </c:pt>
                <c:pt idx="298">
                  <c:v>460.21</c:v>
                </c:pt>
                <c:pt idx="299">
                  <c:v>2.19</c:v>
                </c:pt>
                <c:pt idx="300">
                  <c:v>178.23</c:v>
                </c:pt>
                <c:pt idx="301">
                  <c:v>140.24</c:v>
                </c:pt>
                <c:pt idx="302">
                  <c:v>439.27</c:v>
                </c:pt>
                <c:pt idx="303">
                  <c:v>465.08</c:v>
                </c:pt>
                <c:pt idx="304">
                  <c:v>459.83</c:v>
                </c:pt>
                <c:pt idx="305">
                  <c:v>439.89</c:v>
                </c:pt>
                <c:pt idx="306">
                  <c:v>359.96</c:v>
                </c:pt>
                <c:pt idx="307">
                  <c:v>317.57</c:v>
                </c:pt>
                <c:pt idx="308">
                  <c:v>224.78</c:v>
                </c:pt>
                <c:pt idx="309">
                  <c:v>110.36</c:v>
                </c:pt>
                <c:pt idx="310">
                  <c:v>365.54</c:v>
                </c:pt>
                <c:pt idx="311">
                  <c:v>181.12</c:v>
                </c:pt>
                <c:pt idx="312">
                  <c:v>494.73</c:v>
                </c:pt>
                <c:pt idx="313">
                  <c:v>402.03</c:v>
                </c:pt>
                <c:pt idx="314">
                  <c:v>340.06</c:v>
                </c:pt>
                <c:pt idx="315">
                  <c:v>190.66</c:v>
                </c:pt>
                <c:pt idx="316">
                  <c:v>465.16</c:v>
                </c:pt>
                <c:pt idx="317">
                  <c:v>258.41</c:v>
                </c:pt>
                <c:pt idx="318">
                  <c:v>192.26</c:v>
                </c:pt>
                <c:pt idx="319">
                  <c:v>370.04</c:v>
                </c:pt>
                <c:pt idx="320">
                  <c:v>489.64</c:v>
                </c:pt>
                <c:pt idx="321">
                  <c:v>311.4</c:v>
                </c:pt>
                <c:pt idx="322">
                  <c:v>340.01</c:v>
                </c:pt>
                <c:pt idx="323">
                  <c:v>348.49</c:v>
                </c:pt>
                <c:pt idx="324">
                  <c:v>337.42</c:v>
                </c:pt>
                <c:pt idx="325">
                  <c:v>103.76</c:v>
                </c:pt>
                <c:pt idx="326">
                  <c:v>308.72</c:v>
                </c:pt>
                <c:pt idx="327">
                  <c:v>203</c:v>
                </c:pt>
                <c:pt idx="328">
                  <c:v>112.43</c:v>
                </c:pt>
                <c:pt idx="329">
                  <c:v>121.43</c:v>
                </c:pt>
                <c:pt idx="330">
                  <c:v>379.95</c:v>
                </c:pt>
                <c:pt idx="331">
                  <c:v>362.48</c:v>
                </c:pt>
                <c:pt idx="332">
                  <c:v>470.74</c:v>
                </c:pt>
                <c:pt idx="333">
                  <c:v>305.26</c:v>
                </c:pt>
                <c:pt idx="334">
                  <c:v>241.35</c:v>
                </c:pt>
                <c:pt idx="335">
                  <c:v>213.14</c:v>
                </c:pt>
                <c:pt idx="336">
                  <c:v>237.07</c:v>
                </c:pt>
                <c:pt idx="337">
                  <c:v>359.41</c:v>
                </c:pt>
                <c:pt idx="338">
                  <c:v>225.18</c:v>
                </c:pt>
                <c:pt idx="339">
                  <c:v>88.21</c:v>
                </c:pt>
                <c:pt idx="340">
                  <c:v>325.42</c:v>
                </c:pt>
                <c:pt idx="341">
                  <c:v>334.97</c:v>
                </c:pt>
                <c:pt idx="342">
                  <c:v>298.36</c:v>
                </c:pt>
                <c:pt idx="343">
                  <c:v>95.44</c:v>
                </c:pt>
                <c:pt idx="344">
                  <c:v>401.9</c:v>
                </c:pt>
                <c:pt idx="345">
                  <c:v>278.63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58429383"/>
        <c:axId val="798548901"/>
      </c:lineChart>
      <c:catAx>
        <c:axId val="858429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798548901"/>
        <c:crosses val="autoZero"/>
        <c:auto val="1"/>
        <c:lblAlgn val="ctr"/>
        <c:lblOffset val="100"/>
        <c:noMultiLvlLbl val="0"/>
      </c:catAx>
      <c:valAx>
        <c:axId val="7985489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85842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c3c81b-d089-4e53-a2d7-6f941b0a15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marketing spend vs actual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Sheet5!$D$4:$D$349</c:f>
              <c:numCache>
                <c:formatCode>General</c:formatCode>
                <c:ptCount val="346"/>
                <c:pt idx="0">
                  <c:v>7265</c:v>
                </c:pt>
                <c:pt idx="1">
                  <c:v>7266</c:v>
                </c:pt>
                <c:pt idx="2">
                  <c:v>7267</c:v>
                </c:pt>
                <c:pt idx="3">
                  <c:v>7268</c:v>
                </c:pt>
                <c:pt idx="4">
                  <c:v>7269</c:v>
                </c:pt>
                <c:pt idx="5">
                  <c:v>7270</c:v>
                </c:pt>
                <c:pt idx="6">
                  <c:v>7271</c:v>
                </c:pt>
                <c:pt idx="7">
                  <c:v>7272</c:v>
                </c:pt>
                <c:pt idx="8">
                  <c:v>7273</c:v>
                </c:pt>
                <c:pt idx="9">
                  <c:v>7274</c:v>
                </c:pt>
                <c:pt idx="10">
                  <c:v>7275</c:v>
                </c:pt>
                <c:pt idx="11">
                  <c:v>7276</c:v>
                </c:pt>
                <c:pt idx="12">
                  <c:v>7277</c:v>
                </c:pt>
                <c:pt idx="13">
                  <c:v>7278</c:v>
                </c:pt>
                <c:pt idx="14">
                  <c:v>7279</c:v>
                </c:pt>
                <c:pt idx="15">
                  <c:v>7280</c:v>
                </c:pt>
                <c:pt idx="16">
                  <c:v>7281</c:v>
                </c:pt>
                <c:pt idx="17">
                  <c:v>7282</c:v>
                </c:pt>
                <c:pt idx="18">
                  <c:v>7283</c:v>
                </c:pt>
                <c:pt idx="19">
                  <c:v>7284</c:v>
                </c:pt>
                <c:pt idx="20">
                  <c:v>7285</c:v>
                </c:pt>
                <c:pt idx="21">
                  <c:v>7286</c:v>
                </c:pt>
                <c:pt idx="22">
                  <c:v>7287</c:v>
                </c:pt>
                <c:pt idx="23">
                  <c:v>7288</c:v>
                </c:pt>
                <c:pt idx="24">
                  <c:v>7289</c:v>
                </c:pt>
                <c:pt idx="25">
                  <c:v>7290</c:v>
                </c:pt>
                <c:pt idx="26">
                  <c:v>7291</c:v>
                </c:pt>
                <c:pt idx="27">
                  <c:v>7292</c:v>
                </c:pt>
                <c:pt idx="28">
                  <c:v>7293</c:v>
                </c:pt>
                <c:pt idx="29">
                  <c:v>7294</c:v>
                </c:pt>
                <c:pt idx="30">
                  <c:v>7295</c:v>
                </c:pt>
                <c:pt idx="31">
                  <c:v>7296</c:v>
                </c:pt>
                <c:pt idx="32">
                  <c:v>7297</c:v>
                </c:pt>
                <c:pt idx="33">
                  <c:v>7298</c:v>
                </c:pt>
                <c:pt idx="34">
                  <c:v>7299</c:v>
                </c:pt>
                <c:pt idx="35">
                  <c:v>7300</c:v>
                </c:pt>
                <c:pt idx="36">
                  <c:v>7301</c:v>
                </c:pt>
                <c:pt idx="37">
                  <c:v>7302</c:v>
                </c:pt>
                <c:pt idx="38">
                  <c:v>7303</c:v>
                </c:pt>
                <c:pt idx="39">
                  <c:v>7304</c:v>
                </c:pt>
                <c:pt idx="40">
                  <c:v>7305</c:v>
                </c:pt>
                <c:pt idx="41">
                  <c:v>7306</c:v>
                </c:pt>
                <c:pt idx="42">
                  <c:v>7307</c:v>
                </c:pt>
                <c:pt idx="43">
                  <c:v>7308</c:v>
                </c:pt>
                <c:pt idx="44">
                  <c:v>7309</c:v>
                </c:pt>
                <c:pt idx="45">
                  <c:v>7310</c:v>
                </c:pt>
                <c:pt idx="46">
                  <c:v>7311</c:v>
                </c:pt>
                <c:pt idx="47">
                  <c:v>7312</c:v>
                </c:pt>
                <c:pt idx="48">
                  <c:v>7313</c:v>
                </c:pt>
                <c:pt idx="49">
                  <c:v>7314</c:v>
                </c:pt>
                <c:pt idx="50">
                  <c:v>7315</c:v>
                </c:pt>
                <c:pt idx="51">
                  <c:v>7316</c:v>
                </c:pt>
                <c:pt idx="52">
                  <c:v>7317</c:v>
                </c:pt>
                <c:pt idx="53">
                  <c:v>7318</c:v>
                </c:pt>
                <c:pt idx="54">
                  <c:v>7319</c:v>
                </c:pt>
                <c:pt idx="55">
                  <c:v>7320</c:v>
                </c:pt>
                <c:pt idx="56">
                  <c:v>7321</c:v>
                </c:pt>
                <c:pt idx="57">
                  <c:v>7322</c:v>
                </c:pt>
                <c:pt idx="58">
                  <c:v>7323</c:v>
                </c:pt>
                <c:pt idx="59">
                  <c:v>7324</c:v>
                </c:pt>
                <c:pt idx="60">
                  <c:v>7325</c:v>
                </c:pt>
                <c:pt idx="61">
                  <c:v>7326</c:v>
                </c:pt>
                <c:pt idx="62">
                  <c:v>7327</c:v>
                </c:pt>
                <c:pt idx="63">
                  <c:v>7328</c:v>
                </c:pt>
                <c:pt idx="64">
                  <c:v>7329</c:v>
                </c:pt>
                <c:pt idx="65">
                  <c:v>7330</c:v>
                </c:pt>
                <c:pt idx="66">
                  <c:v>7331</c:v>
                </c:pt>
                <c:pt idx="67">
                  <c:v>7332</c:v>
                </c:pt>
                <c:pt idx="68">
                  <c:v>7333</c:v>
                </c:pt>
                <c:pt idx="69">
                  <c:v>7334</c:v>
                </c:pt>
                <c:pt idx="70">
                  <c:v>7335</c:v>
                </c:pt>
                <c:pt idx="71">
                  <c:v>7336</c:v>
                </c:pt>
                <c:pt idx="72">
                  <c:v>7337</c:v>
                </c:pt>
                <c:pt idx="73">
                  <c:v>7338</c:v>
                </c:pt>
                <c:pt idx="74">
                  <c:v>7339</c:v>
                </c:pt>
                <c:pt idx="75">
                  <c:v>7340</c:v>
                </c:pt>
                <c:pt idx="76">
                  <c:v>7341</c:v>
                </c:pt>
                <c:pt idx="77">
                  <c:v>7342</c:v>
                </c:pt>
                <c:pt idx="78">
                  <c:v>7343</c:v>
                </c:pt>
                <c:pt idx="79">
                  <c:v>7344</c:v>
                </c:pt>
                <c:pt idx="80">
                  <c:v>7345</c:v>
                </c:pt>
                <c:pt idx="81">
                  <c:v>7346</c:v>
                </c:pt>
                <c:pt idx="82">
                  <c:v>7347</c:v>
                </c:pt>
                <c:pt idx="83">
                  <c:v>7348</c:v>
                </c:pt>
                <c:pt idx="84">
                  <c:v>7349</c:v>
                </c:pt>
                <c:pt idx="85">
                  <c:v>7350</c:v>
                </c:pt>
                <c:pt idx="86">
                  <c:v>7351</c:v>
                </c:pt>
                <c:pt idx="87">
                  <c:v>7352</c:v>
                </c:pt>
                <c:pt idx="88">
                  <c:v>7353</c:v>
                </c:pt>
                <c:pt idx="89">
                  <c:v>7354</c:v>
                </c:pt>
                <c:pt idx="90">
                  <c:v>7355</c:v>
                </c:pt>
                <c:pt idx="91">
                  <c:v>7356</c:v>
                </c:pt>
                <c:pt idx="92">
                  <c:v>7357</c:v>
                </c:pt>
                <c:pt idx="93">
                  <c:v>7358</c:v>
                </c:pt>
                <c:pt idx="94">
                  <c:v>7359</c:v>
                </c:pt>
                <c:pt idx="95">
                  <c:v>7360</c:v>
                </c:pt>
                <c:pt idx="96">
                  <c:v>7361</c:v>
                </c:pt>
                <c:pt idx="97">
                  <c:v>7362</c:v>
                </c:pt>
                <c:pt idx="98">
                  <c:v>7363</c:v>
                </c:pt>
                <c:pt idx="99">
                  <c:v>7364</c:v>
                </c:pt>
                <c:pt idx="100">
                  <c:v>7365</c:v>
                </c:pt>
                <c:pt idx="101">
                  <c:v>7366</c:v>
                </c:pt>
                <c:pt idx="102">
                  <c:v>7367</c:v>
                </c:pt>
                <c:pt idx="103">
                  <c:v>7368</c:v>
                </c:pt>
                <c:pt idx="104">
                  <c:v>7369</c:v>
                </c:pt>
                <c:pt idx="105">
                  <c:v>7370</c:v>
                </c:pt>
                <c:pt idx="106">
                  <c:v>7371</c:v>
                </c:pt>
                <c:pt idx="107">
                  <c:v>7372</c:v>
                </c:pt>
                <c:pt idx="108">
                  <c:v>7373</c:v>
                </c:pt>
                <c:pt idx="109">
                  <c:v>7374</c:v>
                </c:pt>
                <c:pt idx="110">
                  <c:v>7375</c:v>
                </c:pt>
                <c:pt idx="111">
                  <c:v>7376</c:v>
                </c:pt>
                <c:pt idx="112">
                  <c:v>7377</c:v>
                </c:pt>
                <c:pt idx="113">
                  <c:v>7378</c:v>
                </c:pt>
                <c:pt idx="114">
                  <c:v>7379</c:v>
                </c:pt>
                <c:pt idx="115">
                  <c:v>7380</c:v>
                </c:pt>
                <c:pt idx="116">
                  <c:v>7381</c:v>
                </c:pt>
                <c:pt idx="117">
                  <c:v>7382</c:v>
                </c:pt>
                <c:pt idx="118">
                  <c:v>7383</c:v>
                </c:pt>
                <c:pt idx="119">
                  <c:v>7384</c:v>
                </c:pt>
                <c:pt idx="120">
                  <c:v>7385</c:v>
                </c:pt>
                <c:pt idx="121">
                  <c:v>7386</c:v>
                </c:pt>
                <c:pt idx="122">
                  <c:v>7387</c:v>
                </c:pt>
                <c:pt idx="123">
                  <c:v>7388</c:v>
                </c:pt>
                <c:pt idx="124">
                  <c:v>7389</c:v>
                </c:pt>
                <c:pt idx="125">
                  <c:v>7390</c:v>
                </c:pt>
                <c:pt idx="126">
                  <c:v>7391</c:v>
                </c:pt>
                <c:pt idx="127">
                  <c:v>7392</c:v>
                </c:pt>
                <c:pt idx="128">
                  <c:v>7393</c:v>
                </c:pt>
                <c:pt idx="129">
                  <c:v>7394</c:v>
                </c:pt>
                <c:pt idx="130">
                  <c:v>7395</c:v>
                </c:pt>
                <c:pt idx="131">
                  <c:v>7396</c:v>
                </c:pt>
                <c:pt idx="132">
                  <c:v>7397</c:v>
                </c:pt>
                <c:pt idx="133">
                  <c:v>7398</c:v>
                </c:pt>
                <c:pt idx="134">
                  <c:v>7399</c:v>
                </c:pt>
                <c:pt idx="135">
                  <c:v>7400</c:v>
                </c:pt>
                <c:pt idx="136">
                  <c:v>7401</c:v>
                </c:pt>
                <c:pt idx="137">
                  <c:v>7402</c:v>
                </c:pt>
                <c:pt idx="138">
                  <c:v>7403</c:v>
                </c:pt>
                <c:pt idx="139">
                  <c:v>7404</c:v>
                </c:pt>
                <c:pt idx="140">
                  <c:v>7405</c:v>
                </c:pt>
                <c:pt idx="141">
                  <c:v>7406</c:v>
                </c:pt>
                <c:pt idx="142">
                  <c:v>7407</c:v>
                </c:pt>
                <c:pt idx="143">
                  <c:v>7408</c:v>
                </c:pt>
                <c:pt idx="144">
                  <c:v>7409</c:v>
                </c:pt>
                <c:pt idx="145">
                  <c:v>7410</c:v>
                </c:pt>
                <c:pt idx="146">
                  <c:v>7411</c:v>
                </c:pt>
                <c:pt idx="147">
                  <c:v>7412</c:v>
                </c:pt>
                <c:pt idx="148">
                  <c:v>7413</c:v>
                </c:pt>
                <c:pt idx="149">
                  <c:v>7414</c:v>
                </c:pt>
                <c:pt idx="150">
                  <c:v>7415</c:v>
                </c:pt>
                <c:pt idx="151">
                  <c:v>7416</c:v>
                </c:pt>
                <c:pt idx="152">
                  <c:v>7417</c:v>
                </c:pt>
                <c:pt idx="153">
                  <c:v>7418</c:v>
                </c:pt>
                <c:pt idx="154">
                  <c:v>7419</c:v>
                </c:pt>
                <c:pt idx="155">
                  <c:v>7420</c:v>
                </c:pt>
                <c:pt idx="156">
                  <c:v>7421</c:v>
                </c:pt>
                <c:pt idx="157">
                  <c:v>7422</c:v>
                </c:pt>
                <c:pt idx="158">
                  <c:v>7423</c:v>
                </c:pt>
                <c:pt idx="159">
                  <c:v>7424</c:v>
                </c:pt>
                <c:pt idx="160">
                  <c:v>7425</c:v>
                </c:pt>
                <c:pt idx="161">
                  <c:v>7426</c:v>
                </c:pt>
                <c:pt idx="162">
                  <c:v>7427</c:v>
                </c:pt>
                <c:pt idx="163">
                  <c:v>7428</c:v>
                </c:pt>
                <c:pt idx="164">
                  <c:v>7429</c:v>
                </c:pt>
                <c:pt idx="165">
                  <c:v>7430</c:v>
                </c:pt>
                <c:pt idx="166">
                  <c:v>7431</c:v>
                </c:pt>
                <c:pt idx="167">
                  <c:v>7432</c:v>
                </c:pt>
                <c:pt idx="168">
                  <c:v>7433</c:v>
                </c:pt>
                <c:pt idx="169">
                  <c:v>7434</c:v>
                </c:pt>
                <c:pt idx="170">
                  <c:v>7435</c:v>
                </c:pt>
                <c:pt idx="171">
                  <c:v>7436</c:v>
                </c:pt>
                <c:pt idx="172">
                  <c:v>7437</c:v>
                </c:pt>
                <c:pt idx="173">
                  <c:v>7438</c:v>
                </c:pt>
                <c:pt idx="174">
                  <c:v>7439</c:v>
                </c:pt>
                <c:pt idx="175">
                  <c:v>7440</c:v>
                </c:pt>
                <c:pt idx="176">
                  <c:v>7441</c:v>
                </c:pt>
                <c:pt idx="177">
                  <c:v>7442</c:v>
                </c:pt>
                <c:pt idx="178">
                  <c:v>7443</c:v>
                </c:pt>
                <c:pt idx="179">
                  <c:v>7444</c:v>
                </c:pt>
                <c:pt idx="180">
                  <c:v>7445</c:v>
                </c:pt>
                <c:pt idx="181">
                  <c:v>7446</c:v>
                </c:pt>
                <c:pt idx="182">
                  <c:v>7447</c:v>
                </c:pt>
                <c:pt idx="183">
                  <c:v>7448</c:v>
                </c:pt>
                <c:pt idx="184">
                  <c:v>7449</c:v>
                </c:pt>
                <c:pt idx="185">
                  <c:v>7450</c:v>
                </c:pt>
                <c:pt idx="186">
                  <c:v>7451</c:v>
                </c:pt>
                <c:pt idx="187">
                  <c:v>7452</c:v>
                </c:pt>
                <c:pt idx="188">
                  <c:v>7453</c:v>
                </c:pt>
                <c:pt idx="189">
                  <c:v>7454</c:v>
                </c:pt>
                <c:pt idx="190">
                  <c:v>7455</c:v>
                </c:pt>
                <c:pt idx="191">
                  <c:v>7456</c:v>
                </c:pt>
                <c:pt idx="192">
                  <c:v>7457</c:v>
                </c:pt>
                <c:pt idx="193">
                  <c:v>7458</c:v>
                </c:pt>
                <c:pt idx="194">
                  <c:v>7459</c:v>
                </c:pt>
                <c:pt idx="195">
                  <c:v>7460</c:v>
                </c:pt>
                <c:pt idx="196">
                  <c:v>7461</c:v>
                </c:pt>
                <c:pt idx="197">
                  <c:v>7462</c:v>
                </c:pt>
                <c:pt idx="198">
                  <c:v>7463</c:v>
                </c:pt>
                <c:pt idx="199">
                  <c:v>7464</c:v>
                </c:pt>
                <c:pt idx="200">
                  <c:v>7465</c:v>
                </c:pt>
                <c:pt idx="201">
                  <c:v>7466</c:v>
                </c:pt>
                <c:pt idx="202">
                  <c:v>7467</c:v>
                </c:pt>
                <c:pt idx="203">
                  <c:v>7468</c:v>
                </c:pt>
                <c:pt idx="204">
                  <c:v>7469</c:v>
                </c:pt>
                <c:pt idx="205">
                  <c:v>7470</c:v>
                </c:pt>
                <c:pt idx="206">
                  <c:v>7471</c:v>
                </c:pt>
                <c:pt idx="207">
                  <c:v>7472</c:v>
                </c:pt>
                <c:pt idx="208">
                  <c:v>7473</c:v>
                </c:pt>
                <c:pt idx="209">
                  <c:v>7474</c:v>
                </c:pt>
                <c:pt idx="210">
                  <c:v>7475</c:v>
                </c:pt>
                <c:pt idx="211">
                  <c:v>7476</c:v>
                </c:pt>
                <c:pt idx="212">
                  <c:v>7477</c:v>
                </c:pt>
                <c:pt idx="213">
                  <c:v>7478</c:v>
                </c:pt>
                <c:pt idx="214">
                  <c:v>7479</c:v>
                </c:pt>
                <c:pt idx="215">
                  <c:v>7480</c:v>
                </c:pt>
                <c:pt idx="216">
                  <c:v>7481</c:v>
                </c:pt>
                <c:pt idx="217">
                  <c:v>7482</c:v>
                </c:pt>
                <c:pt idx="218">
                  <c:v>7483</c:v>
                </c:pt>
                <c:pt idx="219">
                  <c:v>7484</c:v>
                </c:pt>
                <c:pt idx="220">
                  <c:v>7485</c:v>
                </c:pt>
                <c:pt idx="221">
                  <c:v>7486</c:v>
                </c:pt>
                <c:pt idx="222">
                  <c:v>7487</c:v>
                </c:pt>
                <c:pt idx="223">
                  <c:v>7488</c:v>
                </c:pt>
                <c:pt idx="224">
                  <c:v>7489</c:v>
                </c:pt>
                <c:pt idx="225">
                  <c:v>7490</c:v>
                </c:pt>
                <c:pt idx="226">
                  <c:v>7491</c:v>
                </c:pt>
                <c:pt idx="227">
                  <c:v>7492</c:v>
                </c:pt>
                <c:pt idx="228">
                  <c:v>7493</c:v>
                </c:pt>
                <c:pt idx="229">
                  <c:v>7494</c:v>
                </c:pt>
                <c:pt idx="230">
                  <c:v>7495</c:v>
                </c:pt>
                <c:pt idx="231">
                  <c:v>7496</c:v>
                </c:pt>
                <c:pt idx="232">
                  <c:v>7497</c:v>
                </c:pt>
                <c:pt idx="233">
                  <c:v>7498</c:v>
                </c:pt>
                <c:pt idx="234">
                  <c:v>7499</c:v>
                </c:pt>
                <c:pt idx="235">
                  <c:v>7500</c:v>
                </c:pt>
                <c:pt idx="236">
                  <c:v>7501</c:v>
                </c:pt>
                <c:pt idx="237">
                  <c:v>7502</c:v>
                </c:pt>
                <c:pt idx="238">
                  <c:v>7503</c:v>
                </c:pt>
                <c:pt idx="239">
                  <c:v>7504</c:v>
                </c:pt>
                <c:pt idx="240">
                  <c:v>7505</c:v>
                </c:pt>
                <c:pt idx="241">
                  <c:v>7506</c:v>
                </c:pt>
                <c:pt idx="242">
                  <c:v>7507</c:v>
                </c:pt>
                <c:pt idx="243">
                  <c:v>7508</c:v>
                </c:pt>
                <c:pt idx="244">
                  <c:v>7509</c:v>
                </c:pt>
                <c:pt idx="245">
                  <c:v>7510</c:v>
                </c:pt>
                <c:pt idx="246">
                  <c:v>7511</c:v>
                </c:pt>
                <c:pt idx="247">
                  <c:v>7512</c:v>
                </c:pt>
                <c:pt idx="248">
                  <c:v>7513</c:v>
                </c:pt>
                <c:pt idx="249">
                  <c:v>7514</c:v>
                </c:pt>
                <c:pt idx="250">
                  <c:v>7515</c:v>
                </c:pt>
                <c:pt idx="251">
                  <c:v>7516</c:v>
                </c:pt>
                <c:pt idx="252">
                  <c:v>7517</c:v>
                </c:pt>
                <c:pt idx="253">
                  <c:v>7518</c:v>
                </c:pt>
                <c:pt idx="254">
                  <c:v>7519</c:v>
                </c:pt>
                <c:pt idx="255">
                  <c:v>7520</c:v>
                </c:pt>
                <c:pt idx="256">
                  <c:v>7521</c:v>
                </c:pt>
                <c:pt idx="257">
                  <c:v>7522</c:v>
                </c:pt>
                <c:pt idx="258">
                  <c:v>7523</c:v>
                </c:pt>
                <c:pt idx="259">
                  <c:v>7524</c:v>
                </c:pt>
                <c:pt idx="260">
                  <c:v>7525</c:v>
                </c:pt>
                <c:pt idx="261">
                  <c:v>7526</c:v>
                </c:pt>
                <c:pt idx="262">
                  <c:v>7527</c:v>
                </c:pt>
                <c:pt idx="263">
                  <c:v>7528</c:v>
                </c:pt>
                <c:pt idx="264">
                  <c:v>7529</c:v>
                </c:pt>
                <c:pt idx="265">
                  <c:v>7530</c:v>
                </c:pt>
                <c:pt idx="266">
                  <c:v>7531</c:v>
                </c:pt>
                <c:pt idx="267">
                  <c:v>7532</c:v>
                </c:pt>
                <c:pt idx="268">
                  <c:v>7533</c:v>
                </c:pt>
                <c:pt idx="269">
                  <c:v>7534</c:v>
                </c:pt>
                <c:pt idx="270">
                  <c:v>7535</c:v>
                </c:pt>
                <c:pt idx="271">
                  <c:v>7536</c:v>
                </c:pt>
                <c:pt idx="272">
                  <c:v>7537</c:v>
                </c:pt>
                <c:pt idx="273">
                  <c:v>7538</c:v>
                </c:pt>
                <c:pt idx="274">
                  <c:v>7539</c:v>
                </c:pt>
                <c:pt idx="275">
                  <c:v>7540</c:v>
                </c:pt>
                <c:pt idx="276">
                  <c:v>7541</c:v>
                </c:pt>
                <c:pt idx="277">
                  <c:v>7542</c:v>
                </c:pt>
                <c:pt idx="278">
                  <c:v>7543</c:v>
                </c:pt>
                <c:pt idx="279">
                  <c:v>7544</c:v>
                </c:pt>
                <c:pt idx="280">
                  <c:v>7545</c:v>
                </c:pt>
                <c:pt idx="281">
                  <c:v>7546</c:v>
                </c:pt>
                <c:pt idx="282">
                  <c:v>7547</c:v>
                </c:pt>
                <c:pt idx="283">
                  <c:v>7548</c:v>
                </c:pt>
                <c:pt idx="284">
                  <c:v>7549</c:v>
                </c:pt>
                <c:pt idx="285">
                  <c:v>7550</c:v>
                </c:pt>
                <c:pt idx="286">
                  <c:v>7551</c:v>
                </c:pt>
                <c:pt idx="287">
                  <c:v>7552</c:v>
                </c:pt>
                <c:pt idx="288">
                  <c:v>7553</c:v>
                </c:pt>
                <c:pt idx="289">
                  <c:v>7554</c:v>
                </c:pt>
                <c:pt idx="290">
                  <c:v>7555</c:v>
                </c:pt>
                <c:pt idx="291">
                  <c:v>7556</c:v>
                </c:pt>
                <c:pt idx="292">
                  <c:v>7557</c:v>
                </c:pt>
                <c:pt idx="293">
                  <c:v>7558</c:v>
                </c:pt>
                <c:pt idx="294">
                  <c:v>7559</c:v>
                </c:pt>
                <c:pt idx="295">
                  <c:v>7560</c:v>
                </c:pt>
                <c:pt idx="296">
                  <c:v>7561</c:v>
                </c:pt>
                <c:pt idx="297">
                  <c:v>7562</c:v>
                </c:pt>
                <c:pt idx="298">
                  <c:v>7563</c:v>
                </c:pt>
                <c:pt idx="299">
                  <c:v>7564</c:v>
                </c:pt>
                <c:pt idx="300">
                  <c:v>7565</c:v>
                </c:pt>
                <c:pt idx="301">
                  <c:v>7566</c:v>
                </c:pt>
                <c:pt idx="302">
                  <c:v>7567</c:v>
                </c:pt>
                <c:pt idx="303">
                  <c:v>7568</c:v>
                </c:pt>
                <c:pt idx="304">
                  <c:v>7569</c:v>
                </c:pt>
                <c:pt idx="305">
                  <c:v>7570</c:v>
                </c:pt>
                <c:pt idx="306">
                  <c:v>7571</c:v>
                </c:pt>
                <c:pt idx="307">
                  <c:v>7572</c:v>
                </c:pt>
                <c:pt idx="308">
                  <c:v>7573</c:v>
                </c:pt>
                <c:pt idx="309">
                  <c:v>7574</c:v>
                </c:pt>
                <c:pt idx="310">
                  <c:v>7575</c:v>
                </c:pt>
                <c:pt idx="311">
                  <c:v>7576</c:v>
                </c:pt>
                <c:pt idx="312">
                  <c:v>7577</c:v>
                </c:pt>
                <c:pt idx="313">
                  <c:v>7578</c:v>
                </c:pt>
                <c:pt idx="314">
                  <c:v>7579</c:v>
                </c:pt>
                <c:pt idx="315">
                  <c:v>7580</c:v>
                </c:pt>
                <c:pt idx="316">
                  <c:v>7581</c:v>
                </c:pt>
                <c:pt idx="317">
                  <c:v>7582</c:v>
                </c:pt>
                <c:pt idx="318">
                  <c:v>7583</c:v>
                </c:pt>
                <c:pt idx="319">
                  <c:v>7584</c:v>
                </c:pt>
                <c:pt idx="320">
                  <c:v>7585</c:v>
                </c:pt>
                <c:pt idx="321">
                  <c:v>7586</c:v>
                </c:pt>
                <c:pt idx="322">
                  <c:v>7587</c:v>
                </c:pt>
                <c:pt idx="323">
                  <c:v>7588</c:v>
                </c:pt>
                <c:pt idx="324">
                  <c:v>7589</c:v>
                </c:pt>
                <c:pt idx="325">
                  <c:v>7590</c:v>
                </c:pt>
                <c:pt idx="326">
                  <c:v>7591</c:v>
                </c:pt>
                <c:pt idx="327">
                  <c:v>7592</c:v>
                </c:pt>
                <c:pt idx="328">
                  <c:v>7593</c:v>
                </c:pt>
                <c:pt idx="329">
                  <c:v>7594</c:v>
                </c:pt>
                <c:pt idx="330">
                  <c:v>7595</c:v>
                </c:pt>
                <c:pt idx="331">
                  <c:v>7596</c:v>
                </c:pt>
                <c:pt idx="332">
                  <c:v>7597</c:v>
                </c:pt>
                <c:pt idx="333">
                  <c:v>7598</c:v>
                </c:pt>
                <c:pt idx="334">
                  <c:v>7599</c:v>
                </c:pt>
                <c:pt idx="335">
                  <c:v>7600</c:v>
                </c:pt>
                <c:pt idx="336">
                  <c:v>7601</c:v>
                </c:pt>
                <c:pt idx="337">
                  <c:v>7602</c:v>
                </c:pt>
                <c:pt idx="338">
                  <c:v>7603</c:v>
                </c:pt>
                <c:pt idx="339">
                  <c:v>7604</c:v>
                </c:pt>
                <c:pt idx="340">
                  <c:v>7605</c:v>
                </c:pt>
                <c:pt idx="341">
                  <c:v>7606</c:v>
                </c:pt>
                <c:pt idx="342">
                  <c:v>7607</c:v>
                </c:pt>
                <c:pt idx="343">
                  <c:v>7608</c:v>
                </c:pt>
                <c:pt idx="344">
                  <c:v>7609</c:v>
                </c:pt>
                <c:pt idx="345">
                  <c:v>7610</c:v>
                </c:pt>
              </c:numCache>
            </c:numRef>
          </c:xVal>
          <c:yVal>
            <c:numRef>
              <c:f>Sheet5!$F$4:$F$349</c:f>
              <c:numCache>
                <c:formatCode>General</c:formatCode>
                <c:ptCount val="346"/>
                <c:pt idx="0">
                  <c:v>416.07</c:v>
                </c:pt>
                <c:pt idx="1">
                  <c:v>91.93</c:v>
                </c:pt>
                <c:pt idx="2">
                  <c:v>255.73</c:v>
                </c:pt>
                <c:pt idx="3">
                  <c:v>341.12</c:v>
                </c:pt>
                <c:pt idx="4">
                  <c:v>488.17</c:v>
                </c:pt>
                <c:pt idx="5">
                  <c:v>159.28</c:v>
                </c:pt>
                <c:pt idx="6">
                  <c:v>77.01</c:v>
                </c:pt>
                <c:pt idx="7">
                  <c:v>430.84</c:v>
                </c:pt>
                <c:pt idx="8">
                  <c:v>179.51</c:v>
                </c:pt>
                <c:pt idx="9">
                  <c:v>386.66</c:v>
                </c:pt>
                <c:pt idx="10">
                  <c:v>295.13</c:v>
                </c:pt>
                <c:pt idx="11">
                  <c:v>399.09</c:v>
                </c:pt>
                <c:pt idx="12">
                  <c:v>152.33</c:v>
                </c:pt>
                <c:pt idx="13">
                  <c:v>276.32</c:v>
                </c:pt>
                <c:pt idx="14">
                  <c:v>300.81</c:v>
                </c:pt>
                <c:pt idx="15">
                  <c:v>354.32</c:v>
                </c:pt>
                <c:pt idx="16">
                  <c:v>500.55</c:v>
                </c:pt>
                <c:pt idx="17">
                  <c:v>203.91</c:v>
                </c:pt>
                <c:pt idx="18">
                  <c:v>432.61</c:v>
                </c:pt>
                <c:pt idx="19">
                  <c:v>206.38</c:v>
                </c:pt>
                <c:pt idx="20">
                  <c:v>195.63</c:v>
                </c:pt>
                <c:pt idx="21">
                  <c:v>90.89</c:v>
                </c:pt>
                <c:pt idx="22">
                  <c:v>200.3</c:v>
                </c:pt>
                <c:pt idx="23">
                  <c:v>245.92</c:v>
                </c:pt>
                <c:pt idx="24">
                  <c:v>315.35</c:v>
                </c:pt>
                <c:pt idx="25">
                  <c:v>184.18</c:v>
                </c:pt>
                <c:pt idx="26">
                  <c:v>436.6</c:v>
                </c:pt>
                <c:pt idx="27">
                  <c:v>131.87</c:v>
                </c:pt>
                <c:pt idx="28">
                  <c:v>106.68</c:v>
                </c:pt>
                <c:pt idx="29">
                  <c:v>258.72</c:v>
                </c:pt>
                <c:pt idx="30">
                  <c:v>313.76</c:v>
                </c:pt>
                <c:pt idx="31">
                  <c:v>541.61</c:v>
                </c:pt>
                <c:pt idx="32">
                  <c:v>300.76</c:v>
                </c:pt>
                <c:pt idx="33">
                  <c:v>536.67</c:v>
                </c:pt>
                <c:pt idx="34">
                  <c:v>480.94</c:v>
                </c:pt>
                <c:pt idx="35">
                  <c:v>437.08</c:v>
                </c:pt>
                <c:pt idx="36">
                  <c:v>190.6</c:v>
                </c:pt>
                <c:pt idx="37">
                  <c:v>446.77</c:v>
                </c:pt>
                <c:pt idx="38">
                  <c:v>367.07</c:v>
                </c:pt>
                <c:pt idx="39">
                  <c:v>333.42</c:v>
                </c:pt>
                <c:pt idx="40">
                  <c:v>427.54</c:v>
                </c:pt>
                <c:pt idx="41">
                  <c:v>139.38</c:v>
                </c:pt>
                <c:pt idx="42">
                  <c:v>450.71</c:v>
                </c:pt>
                <c:pt idx="43">
                  <c:v>233.14</c:v>
                </c:pt>
                <c:pt idx="44">
                  <c:v>151.31</c:v>
                </c:pt>
                <c:pt idx="45">
                  <c:v>267.58</c:v>
                </c:pt>
                <c:pt idx="46">
                  <c:v>448.95</c:v>
                </c:pt>
                <c:pt idx="47">
                  <c:v>187.49</c:v>
                </c:pt>
                <c:pt idx="48">
                  <c:v>102.9</c:v>
                </c:pt>
                <c:pt idx="49">
                  <c:v>251.59</c:v>
                </c:pt>
                <c:pt idx="50">
                  <c:v>431.08</c:v>
                </c:pt>
                <c:pt idx="51">
                  <c:v>387.72</c:v>
                </c:pt>
                <c:pt idx="52">
                  <c:v>351.41</c:v>
                </c:pt>
                <c:pt idx="53">
                  <c:v>102.71</c:v>
                </c:pt>
                <c:pt idx="54">
                  <c:v>313.18</c:v>
                </c:pt>
                <c:pt idx="55">
                  <c:v>134.26</c:v>
                </c:pt>
                <c:pt idx="56">
                  <c:v>422.09</c:v>
                </c:pt>
                <c:pt idx="57">
                  <c:v>113.76</c:v>
                </c:pt>
                <c:pt idx="58">
                  <c:v>458.18</c:v>
                </c:pt>
                <c:pt idx="59">
                  <c:v>332.15</c:v>
                </c:pt>
                <c:pt idx="60">
                  <c:v>502.9</c:v>
                </c:pt>
                <c:pt idx="61">
                  <c:v>380.78</c:v>
                </c:pt>
                <c:pt idx="62">
                  <c:v>493.44</c:v>
                </c:pt>
                <c:pt idx="63">
                  <c:v>510.08</c:v>
                </c:pt>
                <c:pt idx="64">
                  <c:v>83.24</c:v>
                </c:pt>
                <c:pt idx="65">
                  <c:v>256.89</c:v>
                </c:pt>
                <c:pt idx="66">
                  <c:v>343.45</c:v>
                </c:pt>
                <c:pt idx="67">
                  <c:v>397.37</c:v>
                </c:pt>
                <c:pt idx="68">
                  <c:v>480.43</c:v>
                </c:pt>
                <c:pt idx="69">
                  <c:v>471.84</c:v>
                </c:pt>
                <c:pt idx="70">
                  <c:v>442.3</c:v>
                </c:pt>
                <c:pt idx="71">
                  <c:v>339.03</c:v>
                </c:pt>
                <c:pt idx="72">
                  <c:v>188.38</c:v>
                </c:pt>
                <c:pt idx="73">
                  <c:v>67.53</c:v>
                </c:pt>
                <c:pt idx="74">
                  <c:v>503.24</c:v>
                </c:pt>
                <c:pt idx="75">
                  <c:v>190.84</c:v>
                </c:pt>
                <c:pt idx="76">
                  <c:v>373.68</c:v>
                </c:pt>
                <c:pt idx="77">
                  <c:v>162.25</c:v>
                </c:pt>
                <c:pt idx="78">
                  <c:v>167.8</c:v>
                </c:pt>
                <c:pt idx="79">
                  <c:v>323.56</c:v>
                </c:pt>
                <c:pt idx="80">
                  <c:v>385.39</c:v>
                </c:pt>
                <c:pt idx="81">
                  <c:v>389.39</c:v>
                </c:pt>
                <c:pt idx="82">
                  <c:v>85.12</c:v>
                </c:pt>
                <c:pt idx="83">
                  <c:v>302.58</c:v>
                </c:pt>
                <c:pt idx="84">
                  <c:v>273.44</c:v>
                </c:pt>
                <c:pt idx="85">
                  <c:v>430.34</c:v>
                </c:pt>
                <c:pt idx="86">
                  <c:v>196.41</c:v>
                </c:pt>
                <c:pt idx="87">
                  <c:v>423.77</c:v>
                </c:pt>
                <c:pt idx="88">
                  <c:v>484.28</c:v>
                </c:pt>
                <c:pt idx="89">
                  <c:v>180.29</c:v>
                </c:pt>
                <c:pt idx="90">
                  <c:v>408.41</c:v>
                </c:pt>
                <c:pt idx="91">
                  <c:v>201.79</c:v>
                </c:pt>
                <c:pt idx="92">
                  <c:v>566.35</c:v>
                </c:pt>
                <c:pt idx="93">
                  <c:v>220.78</c:v>
                </c:pt>
                <c:pt idx="94">
                  <c:v>501.4</c:v>
                </c:pt>
                <c:pt idx="95">
                  <c:v>293.41</c:v>
                </c:pt>
                <c:pt idx="96">
                  <c:v>461.19</c:v>
                </c:pt>
                <c:pt idx="97">
                  <c:v>232.12</c:v>
                </c:pt>
                <c:pt idx="98">
                  <c:v>122.5</c:v>
                </c:pt>
                <c:pt idx="99">
                  <c:v>469.92</c:v>
                </c:pt>
                <c:pt idx="100">
                  <c:v>71.34</c:v>
                </c:pt>
                <c:pt idx="101">
                  <c:v>410.19</c:v>
                </c:pt>
                <c:pt idx="102">
                  <c:v>399.13</c:v>
                </c:pt>
                <c:pt idx="103">
                  <c:v>248.96</c:v>
                </c:pt>
                <c:pt idx="104">
                  <c:v>69.91</c:v>
                </c:pt>
                <c:pt idx="105">
                  <c:v>309.49</c:v>
                </c:pt>
                <c:pt idx="106">
                  <c:v>389.22</c:v>
                </c:pt>
                <c:pt idx="107">
                  <c:v>457.5</c:v>
                </c:pt>
                <c:pt idx="108">
                  <c:v>425.44</c:v>
                </c:pt>
                <c:pt idx="109">
                  <c:v>141.66</c:v>
                </c:pt>
                <c:pt idx="110">
                  <c:v>446.54</c:v>
                </c:pt>
                <c:pt idx="111">
                  <c:v>96.24</c:v>
                </c:pt>
                <c:pt idx="112">
                  <c:v>160.1</c:v>
                </c:pt>
                <c:pt idx="113">
                  <c:v>431.65</c:v>
                </c:pt>
                <c:pt idx="114">
                  <c:v>493.13</c:v>
                </c:pt>
                <c:pt idx="115">
                  <c:v>327.06</c:v>
                </c:pt>
                <c:pt idx="116">
                  <c:v>328.38</c:v>
                </c:pt>
                <c:pt idx="117">
                  <c:v>140.37</c:v>
                </c:pt>
                <c:pt idx="118">
                  <c:v>451.41</c:v>
                </c:pt>
                <c:pt idx="119">
                  <c:v>353.02</c:v>
                </c:pt>
                <c:pt idx="120">
                  <c:v>411.32</c:v>
                </c:pt>
                <c:pt idx="121">
                  <c:v>159.06</c:v>
                </c:pt>
                <c:pt idx="122">
                  <c:v>198.66</c:v>
                </c:pt>
                <c:pt idx="123">
                  <c:v>285.47</c:v>
                </c:pt>
                <c:pt idx="124">
                  <c:v>116.92</c:v>
                </c:pt>
                <c:pt idx="125">
                  <c:v>396.6</c:v>
                </c:pt>
                <c:pt idx="126">
                  <c:v>204.83</c:v>
                </c:pt>
                <c:pt idx="127">
                  <c:v>354.43</c:v>
                </c:pt>
                <c:pt idx="128">
                  <c:v>213.62</c:v>
                </c:pt>
                <c:pt idx="129">
                  <c:v>246.49</c:v>
                </c:pt>
                <c:pt idx="130">
                  <c:v>323.95</c:v>
                </c:pt>
                <c:pt idx="131">
                  <c:v>140.23</c:v>
                </c:pt>
                <c:pt idx="132">
                  <c:v>348.5</c:v>
                </c:pt>
                <c:pt idx="133">
                  <c:v>432.04</c:v>
                </c:pt>
                <c:pt idx="134">
                  <c:v>143.52</c:v>
                </c:pt>
                <c:pt idx="135">
                  <c:v>371.92</c:v>
                </c:pt>
                <c:pt idx="136">
                  <c:v>325.84</c:v>
                </c:pt>
                <c:pt idx="137">
                  <c:v>461.85</c:v>
                </c:pt>
                <c:pt idx="138">
                  <c:v>489.76</c:v>
                </c:pt>
                <c:pt idx="139">
                  <c:v>383.87</c:v>
                </c:pt>
                <c:pt idx="140">
                  <c:v>315.1</c:v>
                </c:pt>
                <c:pt idx="141">
                  <c:v>276.85</c:v>
                </c:pt>
                <c:pt idx="142">
                  <c:v>274.87</c:v>
                </c:pt>
                <c:pt idx="143">
                  <c:v>91.44</c:v>
                </c:pt>
                <c:pt idx="144">
                  <c:v>135.84</c:v>
                </c:pt>
                <c:pt idx="145">
                  <c:v>458.34</c:v>
                </c:pt>
                <c:pt idx="146">
                  <c:v>114.66</c:v>
                </c:pt>
                <c:pt idx="147">
                  <c:v>259.34</c:v>
                </c:pt>
                <c:pt idx="148">
                  <c:v>257.38</c:v>
                </c:pt>
                <c:pt idx="149">
                  <c:v>321.19</c:v>
                </c:pt>
                <c:pt idx="150">
                  <c:v>110.74</c:v>
                </c:pt>
                <c:pt idx="151">
                  <c:v>353.01</c:v>
                </c:pt>
                <c:pt idx="152">
                  <c:v>145.03</c:v>
                </c:pt>
                <c:pt idx="153">
                  <c:v>233.62</c:v>
                </c:pt>
                <c:pt idx="154">
                  <c:v>453.31</c:v>
                </c:pt>
                <c:pt idx="155">
                  <c:v>440.11</c:v>
                </c:pt>
                <c:pt idx="156">
                  <c:v>138.39</c:v>
                </c:pt>
                <c:pt idx="157">
                  <c:v>302.19</c:v>
                </c:pt>
                <c:pt idx="158">
                  <c:v>138.96</c:v>
                </c:pt>
                <c:pt idx="159">
                  <c:v>309.6</c:v>
                </c:pt>
                <c:pt idx="160">
                  <c:v>33.97</c:v>
                </c:pt>
                <c:pt idx="161">
                  <c:v>468.13</c:v>
                </c:pt>
                <c:pt idx="162">
                  <c:v>347.01</c:v>
                </c:pt>
                <c:pt idx="163">
                  <c:v>399.31</c:v>
                </c:pt>
                <c:pt idx="164">
                  <c:v>383.28</c:v>
                </c:pt>
                <c:pt idx="165">
                  <c:v>318.39</c:v>
                </c:pt>
                <c:pt idx="166">
                  <c:v>362.95</c:v>
                </c:pt>
                <c:pt idx="167">
                  <c:v>130.24</c:v>
                </c:pt>
                <c:pt idx="168">
                  <c:v>352.46</c:v>
                </c:pt>
                <c:pt idx="169">
                  <c:v>377.05</c:v>
                </c:pt>
                <c:pt idx="170">
                  <c:v>257.68</c:v>
                </c:pt>
                <c:pt idx="171">
                  <c:v>244.47</c:v>
                </c:pt>
                <c:pt idx="172">
                  <c:v>77.64</c:v>
                </c:pt>
                <c:pt idx="173">
                  <c:v>339.92</c:v>
                </c:pt>
                <c:pt idx="174">
                  <c:v>524.74</c:v>
                </c:pt>
                <c:pt idx="175">
                  <c:v>275.9</c:v>
                </c:pt>
                <c:pt idx="176">
                  <c:v>133.28</c:v>
                </c:pt>
                <c:pt idx="177">
                  <c:v>472.62</c:v>
                </c:pt>
                <c:pt idx="178">
                  <c:v>218.74</c:v>
                </c:pt>
                <c:pt idx="179">
                  <c:v>450.16</c:v>
                </c:pt>
                <c:pt idx="180">
                  <c:v>64.3</c:v>
                </c:pt>
                <c:pt idx="181">
                  <c:v>441.73</c:v>
                </c:pt>
                <c:pt idx="182">
                  <c:v>166.79</c:v>
                </c:pt>
                <c:pt idx="183">
                  <c:v>363.36</c:v>
                </c:pt>
                <c:pt idx="184">
                  <c:v>493.88</c:v>
                </c:pt>
                <c:pt idx="185">
                  <c:v>298.57</c:v>
                </c:pt>
                <c:pt idx="186">
                  <c:v>168.18</c:v>
                </c:pt>
                <c:pt idx="187">
                  <c:v>116.09</c:v>
                </c:pt>
                <c:pt idx="188">
                  <c:v>226.87</c:v>
                </c:pt>
                <c:pt idx="189">
                  <c:v>457.48</c:v>
                </c:pt>
                <c:pt idx="190">
                  <c:v>417.17</c:v>
                </c:pt>
                <c:pt idx="191">
                  <c:v>179.37</c:v>
                </c:pt>
                <c:pt idx="192">
                  <c:v>498.1</c:v>
                </c:pt>
                <c:pt idx="193">
                  <c:v>252.1</c:v>
                </c:pt>
                <c:pt idx="194">
                  <c:v>151.12</c:v>
                </c:pt>
                <c:pt idx="195">
                  <c:v>153.83</c:v>
                </c:pt>
                <c:pt idx="196">
                  <c:v>491.13</c:v>
                </c:pt>
                <c:pt idx="197">
                  <c:v>214.28</c:v>
                </c:pt>
                <c:pt idx="198">
                  <c:v>199.87</c:v>
                </c:pt>
                <c:pt idx="199">
                  <c:v>359.75</c:v>
                </c:pt>
                <c:pt idx="200">
                  <c:v>402.59</c:v>
                </c:pt>
                <c:pt idx="201">
                  <c:v>179.91</c:v>
                </c:pt>
                <c:pt idx="202">
                  <c:v>306.35</c:v>
                </c:pt>
                <c:pt idx="203">
                  <c:v>137.31</c:v>
                </c:pt>
                <c:pt idx="204">
                  <c:v>472.26</c:v>
                </c:pt>
                <c:pt idx="205">
                  <c:v>451.52</c:v>
                </c:pt>
                <c:pt idx="206">
                  <c:v>399</c:v>
                </c:pt>
                <c:pt idx="207">
                  <c:v>355.5</c:v>
                </c:pt>
                <c:pt idx="208">
                  <c:v>244.46</c:v>
                </c:pt>
                <c:pt idx="209">
                  <c:v>97.8</c:v>
                </c:pt>
                <c:pt idx="210">
                  <c:v>381.05</c:v>
                </c:pt>
                <c:pt idx="211">
                  <c:v>465.57</c:v>
                </c:pt>
                <c:pt idx="212">
                  <c:v>204.78</c:v>
                </c:pt>
                <c:pt idx="213">
                  <c:v>335.52</c:v>
                </c:pt>
                <c:pt idx="214">
                  <c:v>272.53</c:v>
                </c:pt>
                <c:pt idx="215">
                  <c:v>182.71</c:v>
                </c:pt>
                <c:pt idx="216">
                  <c:v>414.14</c:v>
                </c:pt>
                <c:pt idx="217">
                  <c:v>460.9</c:v>
                </c:pt>
                <c:pt idx="218">
                  <c:v>257.19</c:v>
                </c:pt>
                <c:pt idx="219">
                  <c:v>213.33</c:v>
                </c:pt>
                <c:pt idx="220">
                  <c:v>155.84</c:v>
                </c:pt>
                <c:pt idx="221">
                  <c:v>336.27</c:v>
                </c:pt>
                <c:pt idx="222">
                  <c:v>372.08</c:v>
                </c:pt>
                <c:pt idx="223">
                  <c:v>357.01</c:v>
                </c:pt>
                <c:pt idx="224">
                  <c:v>134.34</c:v>
                </c:pt>
                <c:pt idx="225">
                  <c:v>319.74</c:v>
                </c:pt>
                <c:pt idx="226">
                  <c:v>218.3</c:v>
                </c:pt>
                <c:pt idx="227">
                  <c:v>464.17</c:v>
                </c:pt>
                <c:pt idx="228">
                  <c:v>185.79</c:v>
                </c:pt>
                <c:pt idx="229">
                  <c:v>340.98</c:v>
                </c:pt>
                <c:pt idx="230">
                  <c:v>68.4</c:v>
                </c:pt>
                <c:pt idx="231">
                  <c:v>206.39</c:v>
                </c:pt>
                <c:pt idx="232">
                  <c:v>205.65</c:v>
                </c:pt>
                <c:pt idx="233">
                  <c:v>337.7</c:v>
                </c:pt>
                <c:pt idx="234">
                  <c:v>273.05</c:v>
                </c:pt>
                <c:pt idx="235">
                  <c:v>244.51</c:v>
                </c:pt>
                <c:pt idx="236">
                  <c:v>95.15</c:v>
                </c:pt>
                <c:pt idx="237">
                  <c:v>496.88</c:v>
                </c:pt>
                <c:pt idx="238">
                  <c:v>382.92</c:v>
                </c:pt>
                <c:pt idx="239">
                  <c:v>425.76</c:v>
                </c:pt>
                <c:pt idx="240">
                  <c:v>317.84</c:v>
                </c:pt>
                <c:pt idx="241">
                  <c:v>318.12</c:v>
                </c:pt>
                <c:pt idx="242">
                  <c:v>245.08</c:v>
                </c:pt>
                <c:pt idx="243">
                  <c:v>369.48</c:v>
                </c:pt>
                <c:pt idx="244">
                  <c:v>133.87</c:v>
                </c:pt>
                <c:pt idx="245">
                  <c:v>270.95</c:v>
                </c:pt>
                <c:pt idx="246">
                  <c:v>329.15</c:v>
                </c:pt>
                <c:pt idx="247">
                  <c:v>288.56</c:v>
                </c:pt>
                <c:pt idx="248">
                  <c:v>464.84</c:v>
                </c:pt>
                <c:pt idx="249">
                  <c:v>247.66</c:v>
                </c:pt>
                <c:pt idx="250">
                  <c:v>117.7</c:v>
                </c:pt>
                <c:pt idx="251">
                  <c:v>393.99</c:v>
                </c:pt>
                <c:pt idx="252">
                  <c:v>119.58</c:v>
                </c:pt>
                <c:pt idx="253">
                  <c:v>227.11</c:v>
                </c:pt>
                <c:pt idx="254">
                  <c:v>447.96</c:v>
                </c:pt>
                <c:pt idx="255">
                  <c:v>358.79</c:v>
                </c:pt>
                <c:pt idx="256">
                  <c:v>203.03</c:v>
                </c:pt>
                <c:pt idx="257">
                  <c:v>77.55</c:v>
                </c:pt>
                <c:pt idx="258">
                  <c:v>281.11</c:v>
                </c:pt>
                <c:pt idx="259">
                  <c:v>370.08</c:v>
                </c:pt>
                <c:pt idx="260">
                  <c:v>356.61</c:v>
                </c:pt>
                <c:pt idx="261">
                  <c:v>432.01</c:v>
                </c:pt>
                <c:pt idx="262">
                  <c:v>410.26</c:v>
                </c:pt>
                <c:pt idx="263">
                  <c:v>313.82</c:v>
                </c:pt>
                <c:pt idx="264">
                  <c:v>460.27</c:v>
                </c:pt>
                <c:pt idx="265">
                  <c:v>468.16</c:v>
                </c:pt>
                <c:pt idx="266">
                  <c:v>428.3</c:v>
                </c:pt>
                <c:pt idx="267">
                  <c:v>158.61</c:v>
                </c:pt>
                <c:pt idx="268">
                  <c:v>90.04</c:v>
                </c:pt>
                <c:pt idx="269">
                  <c:v>251.43</c:v>
                </c:pt>
                <c:pt idx="270">
                  <c:v>120.78</c:v>
                </c:pt>
                <c:pt idx="271">
                  <c:v>150.07</c:v>
                </c:pt>
                <c:pt idx="272">
                  <c:v>256.72</c:v>
                </c:pt>
                <c:pt idx="273">
                  <c:v>126.54</c:v>
                </c:pt>
                <c:pt idx="274">
                  <c:v>102.28</c:v>
                </c:pt>
                <c:pt idx="275">
                  <c:v>246.58</c:v>
                </c:pt>
                <c:pt idx="276">
                  <c:v>140.27</c:v>
                </c:pt>
                <c:pt idx="277">
                  <c:v>341.67</c:v>
                </c:pt>
                <c:pt idx="278">
                  <c:v>101.68</c:v>
                </c:pt>
                <c:pt idx="279">
                  <c:v>114.11</c:v>
                </c:pt>
                <c:pt idx="280">
                  <c:v>207.01</c:v>
                </c:pt>
                <c:pt idx="281">
                  <c:v>367.1</c:v>
                </c:pt>
                <c:pt idx="282">
                  <c:v>117.3</c:v>
                </c:pt>
                <c:pt idx="283">
                  <c:v>181.81</c:v>
                </c:pt>
                <c:pt idx="284">
                  <c:v>243.47</c:v>
                </c:pt>
                <c:pt idx="285">
                  <c:v>477.67</c:v>
                </c:pt>
                <c:pt idx="286">
                  <c:v>147.29</c:v>
                </c:pt>
                <c:pt idx="287">
                  <c:v>334.88</c:v>
                </c:pt>
                <c:pt idx="288">
                  <c:v>395.64</c:v>
                </c:pt>
                <c:pt idx="289">
                  <c:v>96.88</c:v>
                </c:pt>
                <c:pt idx="290">
                  <c:v>324.02</c:v>
                </c:pt>
                <c:pt idx="291">
                  <c:v>199.14</c:v>
                </c:pt>
                <c:pt idx="292">
                  <c:v>130.95</c:v>
                </c:pt>
                <c:pt idx="293">
                  <c:v>291.54</c:v>
                </c:pt>
                <c:pt idx="294">
                  <c:v>470.01</c:v>
                </c:pt>
                <c:pt idx="295">
                  <c:v>305.22</c:v>
                </c:pt>
                <c:pt idx="296">
                  <c:v>105.72</c:v>
                </c:pt>
                <c:pt idx="297">
                  <c:v>233.18</c:v>
                </c:pt>
                <c:pt idx="298">
                  <c:v>460.21</c:v>
                </c:pt>
                <c:pt idx="299">
                  <c:v>2.19</c:v>
                </c:pt>
                <c:pt idx="300">
                  <c:v>178.23</c:v>
                </c:pt>
                <c:pt idx="301">
                  <c:v>140.24</c:v>
                </c:pt>
                <c:pt idx="302">
                  <c:v>439.27</c:v>
                </c:pt>
                <c:pt idx="303">
                  <c:v>465.08</c:v>
                </c:pt>
                <c:pt idx="304">
                  <c:v>459.83</c:v>
                </c:pt>
                <c:pt idx="305">
                  <c:v>439.89</c:v>
                </c:pt>
                <c:pt idx="306">
                  <c:v>359.96</c:v>
                </c:pt>
                <c:pt idx="307">
                  <c:v>317.57</c:v>
                </c:pt>
                <c:pt idx="308">
                  <c:v>224.78</c:v>
                </c:pt>
                <c:pt idx="309">
                  <c:v>110.36</c:v>
                </c:pt>
                <c:pt idx="310">
                  <c:v>365.54</c:v>
                </c:pt>
                <c:pt idx="311">
                  <c:v>181.12</c:v>
                </c:pt>
                <c:pt idx="312">
                  <c:v>494.73</c:v>
                </c:pt>
                <c:pt idx="313">
                  <c:v>402.03</c:v>
                </c:pt>
                <c:pt idx="314">
                  <c:v>340.06</c:v>
                </c:pt>
                <c:pt idx="315">
                  <c:v>190.66</c:v>
                </c:pt>
                <c:pt idx="316">
                  <c:v>465.16</c:v>
                </c:pt>
                <c:pt idx="317">
                  <c:v>258.41</c:v>
                </c:pt>
                <c:pt idx="318">
                  <c:v>192.26</c:v>
                </c:pt>
                <c:pt idx="319">
                  <c:v>370.04</c:v>
                </c:pt>
                <c:pt idx="320">
                  <c:v>489.64</c:v>
                </c:pt>
                <c:pt idx="321">
                  <c:v>311.4</c:v>
                </c:pt>
                <c:pt idx="322">
                  <c:v>340.01</c:v>
                </c:pt>
                <c:pt idx="323">
                  <c:v>348.49</c:v>
                </c:pt>
                <c:pt idx="324">
                  <c:v>337.42</c:v>
                </c:pt>
                <c:pt idx="325">
                  <c:v>103.76</c:v>
                </c:pt>
                <c:pt idx="326">
                  <c:v>308.72</c:v>
                </c:pt>
                <c:pt idx="327">
                  <c:v>203</c:v>
                </c:pt>
                <c:pt idx="328">
                  <c:v>112.43</c:v>
                </c:pt>
                <c:pt idx="329">
                  <c:v>121.43</c:v>
                </c:pt>
                <c:pt idx="330">
                  <c:v>379.95</c:v>
                </c:pt>
                <c:pt idx="331">
                  <c:v>362.48</c:v>
                </c:pt>
                <c:pt idx="332">
                  <c:v>470.74</c:v>
                </c:pt>
                <c:pt idx="333">
                  <c:v>305.26</c:v>
                </c:pt>
                <c:pt idx="334">
                  <c:v>241.35</c:v>
                </c:pt>
                <c:pt idx="335">
                  <c:v>213.14</c:v>
                </c:pt>
                <c:pt idx="336">
                  <c:v>237.07</c:v>
                </c:pt>
                <c:pt idx="337">
                  <c:v>359.41</c:v>
                </c:pt>
                <c:pt idx="338">
                  <c:v>225.18</c:v>
                </c:pt>
                <c:pt idx="339">
                  <c:v>88.21</c:v>
                </c:pt>
                <c:pt idx="340">
                  <c:v>325.42</c:v>
                </c:pt>
                <c:pt idx="341">
                  <c:v>334.97</c:v>
                </c:pt>
                <c:pt idx="342">
                  <c:v>298.36</c:v>
                </c:pt>
                <c:pt idx="343">
                  <c:v>95.44</c:v>
                </c:pt>
                <c:pt idx="344">
                  <c:v>401.9</c:v>
                </c:pt>
                <c:pt idx="345">
                  <c:v>278.63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597774"/>
        <c:axId val="565231809"/>
      </c:scatterChart>
      <c:valAx>
        <c:axId val="3085977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5231809"/>
        <c:crosses val="autoZero"/>
        <c:crossBetween val="midCat"/>
      </c:valAx>
      <c:valAx>
        <c:axId val="565231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5977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7168d8-c97d-4ae2-b818-679299fb31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price vs actual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Sheet5!$E$4:$E$349</c:f>
              <c:numCache>
                <c:formatCode>General</c:formatCode>
                <c:ptCount val="346"/>
                <c:pt idx="0">
                  <c:v>11.64</c:v>
                </c:pt>
                <c:pt idx="1">
                  <c:v>25.95</c:v>
                </c:pt>
                <c:pt idx="2">
                  <c:v>27.34</c:v>
                </c:pt>
                <c:pt idx="3">
                  <c:v>39.76</c:v>
                </c:pt>
                <c:pt idx="4">
                  <c:v>20.03</c:v>
                </c:pt>
                <c:pt idx="5">
                  <c:v>17.37</c:v>
                </c:pt>
                <c:pt idx="6">
                  <c:v>13.23</c:v>
                </c:pt>
                <c:pt idx="7">
                  <c:v>27.13</c:v>
                </c:pt>
                <c:pt idx="8">
                  <c:v>37.54</c:v>
                </c:pt>
                <c:pt idx="9">
                  <c:v>12.33</c:v>
                </c:pt>
                <c:pt idx="10">
                  <c:v>46.61</c:v>
                </c:pt>
                <c:pt idx="11">
                  <c:v>27.69</c:v>
                </c:pt>
                <c:pt idx="12">
                  <c:v>19.59</c:v>
                </c:pt>
                <c:pt idx="13">
                  <c:v>13.75</c:v>
                </c:pt>
                <c:pt idx="14">
                  <c:v>17.31</c:v>
                </c:pt>
                <c:pt idx="15">
                  <c:v>47.38</c:v>
                </c:pt>
                <c:pt idx="16">
                  <c:v>35.53</c:v>
                </c:pt>
                <c:pt idx="17">
                  <c:v>30.67</c:v>
                </c:pt>
                <c:pt idx="18">
                  <c:v>36.28</c:v>
                </c:pt>
                <c:pt idx="19">
                  <c:v>27.43</c:v>
                </c:pt>
                <c:pt idx="20">
                  <c:v>39.2</c:v>
                </c:pt>
                <c:pt idx="21">
                  <c:v>11.91</c:v>
                </c:pt>
                <c:pt idx="22">
                  <c:v>32.64</c:v>
                </c:pt>
                <c:pt idx="23">
                  <c:v>16.35</c:v>
                </c:pt>
                <c:pt idx="24">
                  <c:v>14.81</c:v>
                </c:pt>
                <c:pt idx="25">
                  <c:v>23.68</c:v>
                </c:pt>
                <c:pt idx="26">
                  <c:v>13.67</c:v>
                </c:pt>
                <c:pt idx="27">
                  <c:v>13.77</c:v>
                </c:pt>
                <c:pt idx="28">
                  <c:v>22.46</c:v>
                </c:pt>
                <c:pt idx="29">
                  <c:v>49.18</c:v>
                </c:pt>
                <c:pt idx="30">
                  <c:v>17.01</c:v>
                </c:pt>
                <c:pt idx="31">
                  <c:v>10.69</c:v>
                </c:pt>
                <c:pt idx="32">
                  <c:v>40.53</c:v>
                </c:pt>
                <c:pt idx="33">
                  <c:v>42.28</c:v>
                </c:pt>
                <c:pt idx="34">
                  <c:v>23.85</c:v>
                </c:pt>
                <c:pt idx="35">
                  <c:v>28.59</c:v>
                </c:pt>
                <c:pt idx="36">
                  <c:v>35.99</c:v>
                </c:pt>
                <c:pt idx="37">
                  <c:v>11.92</c:v>
                </c:pt>
                <c:pt idx="38">
                  <c:v>47.97</c:v>
                </c:pt>
                <c:pt idx="39">
                  <c:v>45.47</c:v>
                </c:pt>
                <c:pt idx="40">
                  <c:v>20.44</c:v>
                </c:pt>
                <c:pt idx="41">
                  <c:v>10.61</c:v>
                </c:pt>
                <c:pt idx="42">
                  <c:v>47.34</c:v>
                </c:pt>
                <c:pt idx="43">
                  <c:v>30.04</c:v>
                </c:pt>
                <c:pt idx="44">
                  <c:v>31.58</c:v>
                </c:pt>
                <c:pt idx="45">
                  <c:v>37.36</c:v>
                </c:pt>
                <c:pt idx="46">
                  <c:v>34.63</c:v>
                </c:pt>
                <c:pt idx="47">
                  <c:v>47.76</c:v>
                </c:pt>
                <c:pt idx="48">
                  <c:v>47.77</c:v>
                </c:pt>
                <c:pt idx="49">
                  <c:v>44.69</c:v>
                </c:pt>
                <c:pt idx="50">
                  <c:v>35.46</c:v>
                </c:pt>
                <c:pt idx="51">
                  <c:v>42.04</c:v>
                </c:pt>
                <c:pt idx="52">
                  <c:v>37.09</c:v>
                </c:pt>
                <c:pt idx="53">
                  <c:v>32.93</c:v>
                </c:pt>
                <c:pt idx="54">
                  <c:v>15.14</c:v>
                </c:pt>
                <c:pt idx="55">
                  <c:v>42.45</c:v>
                </c:pt>
                <c:pt idx="56">
                  <c:v>42.83</c:v>
                </c:pt>
                <c:pt idx="57">
                  <c:v>35.04</c:v>
                </c:pt>
                <c:pt idx="58">
                  <c:v>42.82</c:v>
                </c:pt>
                <c:pt idx="59">
                  <c:v>36.06</c:v>
                </c:pt>
                <c:pt idx="60">
                  <c:v>18.27</c:v>
                </c:pt>
                <c:pt idx="61">
                  <c:v>20.96</c:v>
                </c:pt>
                <c:pt idx="62">
                  <c:v>18.58</c:v>
                </c:pt>
                <c:pt idx="63">
                  <c:v>25.09</c:v>
                </c:pt>
                <c:pt idx="64">
                  <c:v>11.56</c:v>
                </c:pt>
                <c:pt idx="65">
                  <c:v>34.73</c:v>
                </c:pt>
                <c:pt idx="66">
                  <c:v>23.46</c:v>
                </c:pt>
                <c:pt idx="67">
                  <c:v>36.23</c:v>
                </c:pt>
                <c:pt idx="68">
                  <c:v>25.42</c:v>
                </c:pt>
                <c:pt idx="69">
                  <c:v>37.26</c:v>
                </c:pt>
                <c:pt idx="70">
                  <c:v>23.62</c:v>
                </c:pt>
                <c:pt idx="71">
                  <c:v>20.43</c:v>
                </c:pt>
                <c:pt idx="72">
                  <c:v>29.84</c:v>
                </c:pt>
                <c:pt idx="73">
                  <c:v>37.72</c:v>
                </c:pt>
                <c:pt idx="74">
                  <c:v>23.93</c:v>
                </c:pt>
                <c:pt idx="75">
                  <c:v>47.47</c:v>
                </c:pt>
                <c:pt idx="76">
                  <c:v>11.57</c:v>
                </c:pt>
                <c:pt idx="77">
                  <c:v>26.72</c:v>
                </c:pt>
                <c:pt idx="78">
                  <c:v>48.7</c:v>
                </c:pt>
                <c:pt idx="79">
                  <c:v>31.92</c:v>
                </c:pt>
                <c:pt idx="80">
                  <c:v>26.94</c:v>
                </c:pt>
                <c:pt idx="81">
                  <c:v>32.74</c:v>
                </c:pt>
                <c:pt idx="82">
                  <c:v>33.04</c:v>
                </c:pt>
                <c:pt idx="83">
                  <c:v>39.27</c:v>
                </c:pt>
                <c:pt idx="84">
                  <c:v>15.11</c:v>
                </c:pt>
                <c:pt idx="85">
                  <c:v>20</c:v>
                </c:pt>
                <c:pt idx="86">
                  <c:v>33.22</c:v>
                </c:pt>
                <c:pt idx="87">
                  <c:v>44.68</c:v>
                </c:pt>
                <c:pt idx="88">
                  <c:v>32.47</c:v>
                </c:pt>
                <c:pt idx="89">
                  <c:v>19.54</c:v>
                </c:pt>
                <c:pt idx="90">
                  <c:v>37.19</c:v>
                </c:pt>
                <c:pt idx="91">
                  <c:v>39.6</c:v>
                </c:pt>
                <c:pt idx="92">
                  <c:v>19.53</c:v>
                </c:pt>
                <c:pt idx="93">
                  <c:v>25.11</c:v>
                </c:pt>
                <c:pt idx="94">
                  <c:v>31.37</c:v>
                </c:pt>
                <c:pt idx="95">
                  <c:v>29.86</c:v>
                </c:pt>
                <c:pt idx="96">
                  <c:v>25.58</c:v>
                </c:pt>
                <c:pt idx="97">
                  <c:v>21.91</c:v>
                </c:pt>
                <c:pt idx="98">
                  <c:v>14</c:v>
                </c:pt>
                <c:pt idx="99">
                  <c:v>12.14</c:v>
                </c:pt>
                <c:pt idx="100">
                  <c:v>48.34</c:v>
                </c:pt>
                <c:pt idx="101">
                  <c:v>43.89</c:v>
                </c:pt>
                <c:pt idx="102">
                  <c:v>24.2</c:v>
                </c:pt>
                <c:pt idx="103">
                  <c:v>48.27</c:v>
                </c:pt>
                <c:pt idx="104">
                  <c:v>37.07</c:v>
                </c:pt>
                <c:pt idx="105">
                  <c:v>29.3</c:v>
                </c:pt>
                <c:pt idx="106">
                  <c:v>29.72</c:v>
                </c:pt>
                <c:pt idx="107">
                  <c:v>13.33</c:v>
                </c:pt>
                <c:pt idx="108">
                  <c:v>13.67</c:v>
                </c:pt>
                <c:pt idx="109">
                  <c:v>34.1</c:v>
                </c:pt>
                <c:pt idx="110">
                  <c:v>32.15</c:v>
                </c:pt>
                <c:pt idx="111">
                  <c:v>18.51</c:v>
                </c:pt>
                <c:pt idx="112">
                  <c:v>47.85</c:v>
                </c:pt>
                <c:pt idx="113">
                  <c:v>41.25</c:v>
                </c:pt>
                <c:pt idx="114">
                  <c:v>14.54</c:v>
                </c:pt>
                <c:pt idx="115">
                  <c:v>47.24</c:v>
                </c:pt>
                <c:pt idx="116">
                  <c:v>48.97</c:v>
                </c:pt>
                <c:pt idx="117">
                  <c:v>49.84</c:v>
                </c:pt>
                <c:pt idx="118">
                  <c:v>12.23</c:v>
                </c:pt>
                <c:pt idx="119">
                  <c:v>39.48</c:v>
                </c:pt>
                <c:pt idx="120">
                  <c:v>31.84</c:v>
                </c:pt>
                <c:pt idx="121">
                  <c:v>38.23</c:v>
                </c:pt>
                <c:pt idx="122">
                  <c:v>48.75</c:v>
                </c:pt>
                <c:pt idx="123">
                  <c:v>37.52</c:v>
                </c:pt>
                <c:pt idx="124">
                  <c:v>43.48</c:v>
                </c:pt>
                <c:pt idx="125">
                  <c:v>44.67</c:v>
                </c:pt>
                <c:pt idx="126">
                  <c:v>43.54</c:v>
                </c:pt>
                <c:pt idx="127">
                  <c:v>27.04</c:v>
                </c:pt>
                <c:pt idx="128">
                  <c:v>18.9</c:v>
                </c:pt>
                <c:pt idx="129">
                  <c:v>25.87</c:v>
                </c:pt>
                <c:pt idx="130">
                  <c:v>45.68</c:v>
                </c:pt>
                <c:pt idx="131">
                  <c:v>15.86</c:v>
                </c:pt>
                <c:pt idx="132">
                  <c:v>30.53</c:v>
                </c:pt>
                <c:pt idx="133">
                  <c:v>19.33</c:v>
                </c:pt>
                <c:pt idx="134">
                  <c:v>33.25</c:v>
                </c:pt>
                <c:pt idx="135">
                  <c:v>44.53</c:v>
                </c:pt>
                <c:pt idx="136">
                  <c:v>45.21</c:v>
                </c:pt>
                <c:pt idx="137">
                  <c:v>19.47</c:v>
                </c:pt>
                <c:pt idx="138">
                  <c:v>46.31</c:v>
                </c:pt>
                <c:pt idx="139">
                  <c:v>33.68</c:v>
                </c:pt>
                <c:pt idx="140">
                  <c:v>24.01</c:v>
                </c:pt>
                <c:pt idx="141">
                  <c:v>38.33</c:v>
                </c:pt>
                <c:pt idx="142">
                  <c:v>29.27</c:v>
                </c:pt>
                <c:pt idx="143">
                  <c:v>25.12</c:v>
                </c:pt>
                <c:pt idx="144">
                  <c:v>38.2</c:v>
                </c:pt>
                <c:pt idx="145">
                  <c:v>19.95</c:v>
                </c:pt>
                <c:pt idx="146">
                  <c:v>23.21</c:v>
                </c:pt>
                <c:pt idx="147">
                  <c:v>27.38</c:v>
                </c:pt>
                <c:pt idx="148">
                  <c:v>20.15</c:v>
                </c:pt>
                <c:pt idx="149">
                  <c:v>26.21</c:v>
                </c:pt>
                <c:pt idx="150">
                  <c:v>32.86</c:v>
                </c:pt>
                <c:pt idx="151">
                  <c:v>39.64</c:v>
                </c:pt>
                <c:pt idx="152">
                  <c:v>40.69</c:v>
                </c:pt>
                <c:pt idx="153">
                  <c:v>42.91</c:v>
                </c:pt>
                <c:pt idx="154">
                  <c:v>39.77</c:v>
                </c:pt>
                <c:pt idx="155">
                  <c:v>37.24</c:v>
                </c:pt>
                <c:pt idx="156">
                  <c:v>19.5</c:v>
                </c:pt>
                <c:pt idx="157">
                  <c:v>26.01</c:v>
                </c:pt>
                <c:pt idx="158">
                  <c:v>29.11</c:v>
                </c:pt>
                <c:pt idx="159">
                  <c:v>13.32</c:v>
                </c:pt>
                <c:pt idx="160">
                  <c:v>31.13</c:v>
                </c:pt>
                <c:pt idx="161">
                  <c:v>27.45</c:v>
                </c:pt>
                <c:pt idx="162">
                  <c:v>42.08</c:v>
                </c:pt>
                <c:pt idx="163">
                  <c:v>49.12</c:v>
                </c:pt>
                <c:pt idx="164">
                  <c:v>32.24</c:v>
                </c:pt>
                <c:pt idx="165">
                  <c:v>22.91</c:v>
                </c:pt>
                <c:pt idx="166">
                  <c:v>11.74</c:v>
                </c:pt>
                <c:pt idx="167">
                  <c:v>46.99</c:v>
                </c:pt>
                <c:pt idx="168">
                  <c:v>46.76</c:v>
                </c:pt>
                <c:pt idx="169">
                  <c:v>20.12</c:v>
                </c:pt>
                <c:pt idx="170">
                  <c:v>37.82</c:v>
                </c:pt>
                <c:pt idx="171">
                  <c:v>13.02</c:v>
                </c:pt>
                <c:pt idx="172">
                  <c:v>16.65</c:v>
                </c:pt>
                <c:pt idx="173">
                  <c:v>18.67</c:v>
                </c:pt>
                <c:pt idx="174">
                  <c:v>21.78</c:v>
                </c:pt>
                <c:pt idx="175">
                  <c:v>49.83</c:v>
                </c:pt>
                <c:pt idx="176">
                  <c:v>37.88</c:v>
                </c:pt>
                <c:pt idx="177">
                  <c:v>25.37</c:v>
                </c:pt>
                <c:pt idx="178">
                  <c:v>39.48</c:v>
                </c:pt>
                <c:pt idx="179">
                  <c:v>46.61</c:v>
                </c:pt>
                <c:pt idx="180">
                  <c:v>48.35</c:v>
                </c:pt>
                <c:pt idx="181">
                  <c:v>12.31</c:v>
                </c:pt>
                <c:pt idx="182">
                  <c:v>25.78</c:v>
                </c:pt>
                <c:pt idx="183">
                  <c:v>14.27</c:v>
                </c:pt>
                <c:pt idx="184">
                  <c:v>23.43</c:v>
                </c:pt>
                <c:pt idx="185">
                  <c:v>16.79</c:v>
                </c:pt>
                <c:pt idx="186">
                  <c:v>35.87</c:v>
                </c:pt>
                <c:pt idx="187">
                  <c:v>25.53</c:v>
                </c:pt>
                <c:pt idx="188">
                  <c:v>19.18</c:v>
                </c:pt>
                <c:pt idx="189">
                  <c:v>20.64</c:v>
                </c:pt>
                <c:pt idx="190">
                  <c:v>24.41</c:v>
                </c:pt>
                <c:pt idx="191">
                  <c:v>20.4</c:v>
                </c:pt>
                <c:pt idx="192">
                  <c:v>28.13</c:v>
                </c:pt>
                <c:pt idx="193">
                  <c:v>11.29</c:v>
                </c:pt>
                <c:pt idx="194">
                  <c:v>21.19</c:v>
                </c:pt>
                <c:pt idx="195">
                  <c:v>26.45</c:v>
                </c:pt>
                <c:pt idx="196">
                  <c:v>34.11</c:v>
                </c:pt>
                <c:pt idx="197">
                  <c:v>20.84</c:v>
                </c:pt>
                <c:pt idx="198">
                  <c:v>15.33</c:v>
                </c:pt>
                <c:pt idx="199">
                  <c:v>13.05</c:v>
                </c:pt>
                <c:pt idx="200">
                  <c:v>47.62</c:v>
                </c:pt>
                <c:pt idx="201">
                  <c:v>26.67</c:v>
                </c:pt>
                <c:pt idx="202">
                  <c:v>33.25</c:v>
                </c:pt>
                <c:pt idx="203">
                  <c:v>46.77</c:v>
                </c:pt>
                <c:pt idx="204">
                  <c:v>13.31</c:v>
                </c:pt>
                <c:pt idx="205">
                  <c:v>45.07</c:v>
                </c:pt>
                <c:pt idx="206">
                  <c:v>32.06</c:v>
                </c:pt>
                <c:pt idx="207">
                  <c:v>16.59</c:v>
                </c:pt>
                <c:pt idx="208">
                  <c:v>26.45</c:v>
                </c:pt>
                <c:pt idx="209">
                  <c:v>41.1</c:v>
                </c:pt>
                <c:pt idx="210">
                  <c:v>29.21</c:v>
                </c:pt>
                <c:pt idx="211">
                  <c:v>49.41</c:v>
                </c:pt>
                <c:pt idx="212">
                  <c:v>25.07</c:v>
                </c:pt>
                <c:pt idx="213">
                  <c:v>39.98</c:v>
                </c:pt>
                <c:pt idx="214">
                  <c:v>25.72</c:v>
                </c:pt>
                <c:pt idx="215">
                  <c:v>43.17</c:v>
                </c:pt>
                <c:pt idx="216">
                  <c:v>32.76</c:v>
                </c:pt>
                <c:pt idx="217">
                  <c:v>12.54</c:v>
                </c:pt>
                <c:pt idx="218">
                  <c:v>11.47</c:v>
                </c:pt>
                <c:pt idx="219">
                  <c:v>15.35</c:v>
                </c:pt>
                <c:pt idx="220">
                  <c:v>10.55</c:v>
                </c:pt>
                <c:pt idx="221">
                  <c:v>13.01</c:v>
                </c:pt>
                <c:pt idx="222">
                  <c:v>37.67</c:v>
                </c:pt>
                <c:pt idx="223">
                  <c:v>31.37</c:v>
                </c:pt>
                <c:pt idx="224">
                  <c:v>40</c:v>
                </c:pt>
                <c:pt idx="225">
                  <c:v>46.53</c:v>
                </c:pt>
                <c:pt idx="226">
                  <c:v>33.41</c:v>
                </c:pt>
                <c:pt idx="227">
                  <c:v>39.04</c:v>
                </c:pt>
                <c:pt idx="228">
                  <c:v>40.28</c:v>
                </c:pt>
                <c:pt idx="229">
                  <c:v>25.11</c:v>
                </c:pt>
                <c:pt idx="230">
                  <c:v>19.64</c:v>
                </c:pt>
                <c:pt idx="231">
                  <c:v>18.2</c:v>
                </c:pt>
                <c:pt idx="232">
                  <c:v>20.06</c:v>
                </c:pt>
                <c:pt idx="233">
                  <c:v>20.99</c:v>
                </c:pt>
                <c:pt idx="234">
                  <c:v>18.29</c:v>
                </c:pt>
                <c:pt idx="235">
                  <c:v>45.13</c:v>
                </c:pt>
                <c:pt idx="236">
                  <c:v>40.28</c:v>
                </c:pt>
                <c:pt idx="237">
                  <c:v>11.88</c:v>
                </c:pt>
                <c:pt idx="238">
                  <c:v>20.75</c:v>
                </c:pt>
                <c:pt idx="239">
                  <c:v>10.89</c:v>
                </c:pt>
                <c:pt idx="240">
                  <c:v>29.93</c:v>
                </c:pt>
                <c:pt idx="241">
                  <c:v>29.05</c:v>
                </c:pt>
                <c:pt idx="242">
                  <c:v>43.25</c:v>
                </c:pt>
                <c:pt idx="243">
                  <c:v>22.31</c:v>
                </c:pt>
                <c:pt idx="244">
                  <c:v>42.66</c:v>
                </c:pt>
                <c:pt idx="245">
                  <c:v>48.72</c:v>
                </c:pt>
                <c:pt idx="246">
                  <c:v>13.54</c:v>
                </c:pt>
                <c:pt idx="247">
                  <c:v>41.67</c:v>
                </c:pt>
                <c:pt idx="248">
                  <c:v>33.6</c:v>
                </c:pt>
                <c:pt idx="249">
                  <c:v>29.2</c:v>
                </c:pt>
                <c:pt idx="250">
                  <c:v>26.82</c:v>
                </c:pt>
                <c:pt idx="251">
                  <c:v>41.39</c:v>
                </c:pt>
                <c:pt idx="252">
                  <c:v>35.57</c:v>
                </c:pt>
                <c:pt idx="253">
                  <c:v>42.2</c:v>
                </c:pt>
                <c:pt idx="254">
                  <c:v>46.13</c:v>
                </c:pt>
                <c:pt idx="255">
                  <c:v>34.69</c:v>
                </c:pt>
                <c:pt idx="256">
                  <c:v>49.22</c:v>
                </c:pt>
                <c:pt idx="257">
                  <c:v>34.32</c:v>
                </c:pt>
                <c:pt idx="258">
                  <c:v>35.47</c:v>
                </c:pt>
                <c:pt idx="259">
                  <c:v>32.19</c:v>
                </c:pt>
                <c:pt idx="260">
                  <c:v>13.64</c:v>
                </c:pt>
                <c:pt idx="261">
                  <c:v>39.06</c:v>
                </c:pt>
                <c:pt idx="262">
                  <c:v>31.9</c:v>
                </c:pt>
                <c:pt idx="263">
                  <c:v>28.04</c:v>
                </c:pt>
                <c:pt idx="264">
                  <c:v>46.42</c:v>
                </c:pt>
                <c:pt idx="265">
                  <c:v>21.92</c:v>
                </c:pt>
                <c:pt idx="266">
                  <c:v>30.94</c:v>
                </c:pt>
                <c:pt idx="267">
                  <c:v>37.91</c:v>
                </c:pt>
                <c:pt idx="268">
                  <c:v>41.86</c:v>
                </c:pt>
                <c:pt idx="269">
                  <c:v>28.37</c:v>
                </c:pt>
                <c:pt idx="270">
                  <c:v>43.68</c:v>
                </c:pt>
                <c:pt idx="271">
                  <c:v>40.76</c:v>
                </c:pt>
                <c:pt idx="272">
                  <c:v>12.65</c:v>
                </c:pt>
                <c:pt idx="273">
                  <c:v>11.83</c:v>
                </c:pt>
                <c:pt idx="274">
                  <c:v>34.83</c:v>
                </c:pt>
                <c:pt idx="275">
                  <c:v>23.9</c:v>
                </c:pt>
                <c:pt idx="276">
                  <c:v>18.37</c:v>
                </c:pt>
                <c:pt idx="277">
                  <c:v>33.19</c:v>
                </c:pt>
                <c:pt idx="278">
                  <c:v>23.66</c:v>
                </c:pt>
                <c:pt idx="279">
                  <c:v>31.49</c:v>
                </c:pt>
                <c:pt idx="280">
                  <c:v>28.4</c:v>
                </c:pt>
                <c:pt idx="281">
                  <c:v>33.39</c:v>
                </c:pt>
                <c:pt idx="282">
                  <c:v>26.01</c:v>
                </c:pt>
                <c:pt idx="283">
                  <c:v>37.91</c:v>
                </c:pt>
                <c:pt idx="284">
                  <c:v>17.2</c:v>
                </c:pt>
                <c:pt idx="285">
                  <c:v>37.86</c:v>
                </c:pt>
                <c:pt idx="286">
                  <c:v>26.47</c:v>
                </c:pt>
                <c:pt idx="287">
                  <c:v>44.97</c:v>
                </c:pt>
                <c:pt idx="288">
                  <c:v>30.61</c:v>
                </c:pt>
                <c:pt idx="289">
                  <c:v>48.92</c:v>
                </c:pt>
                <c:pt idx="290">
                  <c:v>34.08</c:v>
                </c:pt>
                <c:pt idx="291">
                  <c:v>18.95</c:v>
                </c:pt>
                <c:pt idx="292">
                  <c:v>42.87</c:v>
                </c:pt>
                <c:pt idx="293">
                  <c:v>23.8</c:v>
                </c:pt>
                <c:pt idx="294">
                  <c:v>23.9</c:v>
                </c:pt>
                <c:pt idx="295">
                  <c:v>11.27</c:v>
                </c:pt>
                <c:pt idx="296">
                  <c:v>31.95</c:v>
                </c:pt>
                <c:pt idx="297">
                  <c:v>31.38</c:v>
                </c:pt>
                <c:pt idx="298">
                  <c:v>24.24</c:v>
                </c:pt>
                <c:pt idx="299">
                  <c:v>45.77</c:v>
                </c:pt>
                <c:pt idx="300">
                  <c:v>15.15</c:v>
                </c:pt>
                <c:pt idx="301">
                  <c:v>23.2</c:v>
                </c:pt>
                <c:pt idx="302">
                  <c:v>22.86</c:v>
                </c:pt>
                <c:pt idx="303">
                  <c:v>13.69</c:v>
                </c:pt>
                <c:pt idx="304">
                  <c:v>29.25</c:v>
                </c:pt>
                <c:pt idx="305">
                  <c:v>37.51</c:v>
                </c:pt>
                <c:pt idx="306">
                  <c:v>30.47</c:v>
                </c:pt>
                <c:pt idx="307">
                  <c:v>16.28</c:v>
                </c:pt>
                <c:pt idx="308">
                  <c:v>25.09</c:v>
                </c:pt>
                <c:pt idx="309">
                  <c:v>10.1</c:v>
                </c:pt>
                <c:pt idx="310">
                  <c:v>44.73</c:v>
                </c:pt>
                <c:pt idx="311">
                  <c:v>13.38</c:v>
                </c:pt>
                <c:pt idx="312">
                  <c:v>33.89</c:v>
                </c:pt>
                <c:pt idx="313">
                  <c:v>49.45</c:v>
                </c:pt>
                <c:pt idx="314">
                  <c:v>31.46</c:v>
                </c:pt>
                <c:pt idx="315">
                  <c:v>46.96</c:v>
                </c:pt>
                <c:pt idx="316">
                  <c:v>19.44</c:v>
                </c:pt>
                <c:pt idx="317">
                  <c:v>40.4</c:v>
                </c:pt>
                <c:pt idx="318">
                  <c:v>31.25</c:v>
                </c:pt>
                <c:pt idx="319">
                  <c:v>38.82</c:v>
                </c:pt>
                <c:pt idx="320">
                  <c:v>12.49</c:v>
                </c:pt>
                <c:pt idx="321">
                  <c:v>15.91</c:v>
                </c:pt>
                <c:pt idx="322">
                  <c:v>15.32</c:v>
                </c:pt>
                <c:pt idx="323">
                  <c:v>37.49</c:v>
                </c:pt>
                <c:pt idx="324">
                  <c:v>43.78</c:v>
                </c:pt>
                <c:pt idx="325">
                  <c:v>39.98</c:v>
                </c:pt>
                <c:pt idx="326">
                  <c:v>11.22</c:v>
                </c:pt>
                <c:pt idx="327">
                  <c:v>44.69</c:v>
                </c:pt>
                <c:pt idx="328">
                  <c:v>24.17</c:v>
                </c:pt>
                <c:pt idx="329">
                  <c:v>25.89</c:v>
                </c:pt>
                <c:pt idx="330">
                  <c:v>14.19</c:v>
                </c:pt>
                <c:pt idx="331">
                  <c:v>39.5</c:v>
                </c:pt>
                <c:pt idx="332">
                  <c:v>17.29</c:v>
                </c:pt>
                <c:pt idx="333">
                  <c:v>32.56</c:v>
                </c:pt>
                <c:pt idx="334">
                  <c:v>43.63</c:v>
                </c:pt>
                <c:pt idx="335">
                  <c:v>13.57</c:v>
                </c:pt>
                <c:pt idx="336">
                  <c:v>31.41</c:v>
                </c:pt>
                <c:pt idx="337">
                  <c:v>19.33</c:v>
                </c:pt>
                <c:pt idx="338">
                  <c:v>23.72</c:v>
                </c:pt>
                <c:pt idx="339">
                  <c:v>28.96</c:v>
                </c:pt>
                <c:pt idx="340">
                  <c:v>24.2</c:v>
                </c:pt>
                <c:pt idx="341">
                  <c:v>35.95</c:v>
                </c:pt>
                <c:pt idx="342">
                  <c:v>29.18</c:v>
                </c:pt>
                <c:pt idx="343">
                  <c:v>33.37</c:v>
                </c:pt>
                <c:pt idx="344">
                  <c:v>39.47</c:v>
                </c:pt>
                <c:pt idx="345">
                  <c:v>32.31</c:v>
                </c:pt>
              </c:numCache>
            </c:numRef>
          </c:xVal>
          <c:yVal>
            <c:numRef>
              <c:f>Sheet5!$F$4:$F$349</c:f>
              <c:numCache>
                <c:formatCode>General</c:formatCode>
                <c:ptCount val="346"/>
                <c:pt idx="0">
                  <c:v>416.07</c:v>
                </c:pt>
                <c:pt idx="1">
                  <c:v>91.93</c:v>
                </c:pt>
                <c:pt idx="2">
                  <c:v>255.73</c:v>
                </c:pt>
                <c:pt idx="3">
                  <c:v>341.12</c:v>
                </c:pt>
                <c:pt idx="4">
                  <c:v>488.17</c:v>
                </c:pt>
                <c:pt idx="5">
                  <c:v>159.28</c:v>
                </c:pt>
                <c:pt idx="6">
                  <c:v>77.01</c:v>
                </c:pt>
                <c:pt idx="7">
                  <c:v>430.84</c:v>
                </c:pt>
                <c:pt idx="8">
                  <c:v>179.51</c:v>
                </c:pt>
                <c:pt idx="9">
                  <c:v>386.66</c:v>
                </c:pt>
                <c:pt idx="10">
                  <c:v>295.13</c:v>
                </c:pt>
                <c:pt idx="11">
                  <c:v>399.09</c:v>
                </c:pt>
                <c:pt idx="12">
                  <c:v>152.33</c:v>
                </c:pt>
                <c:pt idx="13">
                  <c:v>276.32</c:v>
                </c:pt>
                <c:pt idx="14">
                  <c:v>300.81</c:v>
                </c:pt>
                <c:pt idx="15">
                  <c:v>354.32</c:v>
                </c:pt>
                <c:pt idx="16">
                  <c:v>500.55</c:v>
                </c:pt>
                <c:pt idx="17">
                  <c:v>203.91</c:v>
                </c:pt>
                <c:pt idx="18">
                  <c:v>432.61</c:v>
                </c:pt>
                <c:pt idx="19">
                  <c:v>206.38</c:v>
                </c:pt>
                <c:pt idx="20">
                  <c:v>195.63</c:v>
                </c:pt>
                <c:pt idx="21">
                  <c:v>90.89</c:v>
                </c:pt>
                <c:pt idx="22">
                  <c:v>200.3</c:v>
                </c:pt>
                <c:pt idx="23">
                  <c:v>245.92</c:v>
                </c:pt>
                <c:pt idx="24">
                  <c:v>315.35</c:v>
                </c:pt>
                <c:pt idx="25">
                  <c:v>184.18</c:v>
                </c:pt>
                <c:pt idx="26">
                  <c:v>436.6</c:v>
                </c:pt>
                <c:pt idx="27">
                  <c:v>131.87</c:v>
                </c:pt>
                <c:pt idx="28">
                  <c:v>106.68</c:v>
                </c:pt>
                <c:pt idx="29">
                  <c:v>258.72</c:v>
                </c:pt>
                <c:pt idx="30">
                  <c:v>313.76</c:v>
                </c:pt>
                <c:pt idx="31">
                  <c:v>541.61</c:v>
                </c:pt>
                <c:pt idx="32">
                  <c:v>300.76</c:v>
                </c:pt>
                <c:pt idx="33">
                  <c:v>536.67</c:v>
                </c:pt>
                <c:pt idx="34">
                  <c:v>480.94</c:v>
                </c:pt>
                <c:pt idx="35">
                  <c:v>437.08</c:v>
                </c:pt>
                <c:pt idx="36">
                  <c:v>190.6</c:v>
                </c:pt>
                <c:pt idx="37">
                  <c:v>446.77</c:v>
                </c:pt>
                <c:pt idx="38">
                  <c:v>367.07</c:v>
                </c:pt>
                <c:pt idx="39">
                  <c:v>333.42</c:v>
                </c:pt>
                <c:pt idx="40">
                  <c:v>427.54</c:v>
                </c:pt>
                <c:pt idx="41">
                  <c:v>139.38</c:v>
                </c:pt>
                <c:pt idx="42">
                  <c:v>450.71</c:v>
                </c:pt>
                <c:pt idx="43">
                  <c:v>233.14</c:v>
                </c:pt>
                <c:pt idx="44">
                  <c:v>151.31</c:v>
                </c:pt>
                <c:pt idx="45">
                  <c:v>267.58</c:v>
                </c:pt>
                <c:pt idx="46">
                  <c:v>448.95</c:v>
                </c:pt>
                <c:pt idx="47">
                  <c:v>187.49</c:v>
                </c:pt>
                <c:pt idx="48">
                  <c:v>102.9</c:v>
                </c:pt>
                <c:pt idx="49">
                  <c:v>251.59</c:v>
                </c:pt>
                <c:pt idx="50">
                  <c:v>431.08</c:v>
                </c:pt>
                <c:pt idx="51">
                  <c:v>387.72</c:v>
                </c:pt>
                <c:pt idx="52">
                  <c:v>351.41</c:v>
                </c:pt>
                <c:pt idx="53">
                  <c:v>102.71</c:v>
                </c:pt>
                <c:pt idx="54">
                  <c:v>313.18</c:v>
                </c:pt>
                <c:pt idx="55">
                  <c:v>134.26</c:v>
                </c:pt>
                <c:pt idx="56">
                  <c:v>422.09</c:v>
                </c:pt>
                <c:pt idx="57">
                  <c:v>113.76</c:v>
                </c:pt>
                <c:pt idx="58">
                  <c:v>458.18</c:v>
                </c:pt>
                <c:pt idx="59">
                  <c:v>332.15</c:v>
                </c:pt>
                <c:pt idx="60">
                  <c:v>502.9</c:v>
                </c:pt>
                <c:pt idx="61">
                  <c:v>380.78</c:v>
                </c:pt>
                <c:pt idx="62">
                  <c:v>493.44</c:v>
                </c:pt>
                <c:pt idx="63">
                  <c:v>510.08</c:v>
                </c:pt>
                <c:pt idx="64">
                  <c:v>83.24</c:v>
                </c:pt>
                <c:pt idx="65">
                  <c:v>256.89</c:v>
                </c:pt>
                <c:pt idx="66">
                  <c:v>343.45</c:v>
                </c:pt>
                <c:pt idx="67">
                  <c:v>397.37</c:v>
                </c:pt>
                <c:pt idx="68">
                  <c:v>480.43</c:v>
                </c:pt>
                <c:pt idx="69">
                  <c:v>471.84</c:v>
                </c:pt>
                <c:pt idx="70">
                  <c:v>442.3</c:v>
                </c:pt>
                <c:pt idx="71">
                  <c:v>339.03</c:v>
                </c:pt>
                <c:pt idx="72">
                  <c:v>188.38</c:v>
                </c:pt>
                <c:pt idx="73">
                  <c:v>67.53</c:v>
                </c:pt>
                <c:pt idx="74">
                  <c:v>503.24</c:v>
                </c:pt>
                <c:pt idx="75">
                  <c:v>190.84</c:v>
                </c:pt>
                <c:pt idx="76">
                  <c:v>373.68</c:v>
                </c:pt>
                <c:pt idx="77">
                  <c:v>162.25</c:v>
                </c:pt>
                <c:pt idx="78">
                  <c:v>167.8</c:v>
                </c:pt>
                <c:pt idx="79">
                  <c:v>323.56</c:v>
                </c:pt>
                <c:pt idx="80">
                  <c:v>385.39</c:v>
                </c:pt>
                <c:pt idx="81">
                  <c:v>389.39</c:v>
                </c:pt>
                <c:pt idx="82">
                  <c:v>85.12</c:v>
                </c:pt>
                <c:pt idx="83">
                  <c:v>302.58</c:v>
                </c:pt>
                <c:pt idx="84">
                  <c:v>273.44</c:v>
                </c:pt>
                <c:pt idx="85">
                  <c:v>430.34</c:v>
                </c:pt>
                <c:pt idx="86">
                  <c:v>196.41</c:v>
                </c:pt>
                <c:pt idx="87">
                  <c:v>423.77</c:v>
                </c:pt>
                <c:pt idx="88">
                  <c:v>484.28</c:v>
                </c:pt>
                <c:pt idx="89">
                  <c:v>180.29</c:v>
                </c:pt>
                <c:pt idx="90">
                  <c:v>408.41</c:v>
                </c:pt>
                <c:pt idx="91">
                  <c:v>201.79</c:v>
                </c:pt>
                <c:pt idx="92">
                  <c:v>566.35</c:v>
                </c:pt>
                <c:pt idx="93">
                  <c:v>220.78</c:v>
                </c:pt>
                <c:pt idx="94">
                  <c:v>501.4</c:v>
                </c:pt>
                <c:pt idx="95">
                  <c:v>293.41</c:v>
                </c:pt>
                <c:pt idx="96">
                  <c:v>461.19</c:v>
                </c:pt>
                <c:pt idx="97">
                  <c:v>232.12</c:v>
                </c:pt>
                <c:pt idx="98">
                  <c:v>122.5</c:v>
                </c:pt>
                <c:pt idx="99">
                  <c:v>469.92</c:v>
                </c:pt>
                <c:pt idx="100">
                  <c:v>71.34</c:v>
                </c:pt>
                <c:pt idx="101">
                  <c:v>410.19</c:v>
                </c:pt>
                <c:pt idx="102">
                  <c:v>399.13</c:v>
                </c:pt>
                <c:pt idx="103">
                  <c:v>248.96</c:v>
                </c:pt>
                <c:pt idx="104">
                  <c:v>69.91</c:v>
                </c:pt>
                <c:pt idx="105">
                  <c:v>309.49</c:v>
                </c:pt>
                <c:pt idx="106">
                  <c:v>389.22</c:v>
                </c:pt>
                <c:pt idx="107">
                  <c:v>457.5</c:v>
                </c:pt>
                <c:pt idx="108">
                  <c:v>425.44</c:v>
                </c:pt>
                <c:pt idx="109">
                  <c:v>141.66</c:v>
                </c:pt>
                <c:pt idx="110">
                  <c:v>446.54</c:v>
                </c:pt>
                <c:pt idx="111">
                  <c:v>96.24</c:v>
                </c:pt>
                <c:pt idx="112">
                  <c:v>160.1</c:v>
                </c:pt>
                <c:pt idx="113">
                  <c:v>431.65</c:v>
                </c:pt>
                <c:pt idx="114">
                  <c:v>493.13</c:v>
                </c:pt>
                <c:pt idx="115">
                  <c:v>327.06</c:v>
                </c:pt>
                <c:pt idx="116">
                  <c:v>328.38</c:v>
                </c:pt>
                <c:pt idx="117">
                  <c:v>140.37</c:v>
                </c:pt>
                <c:pt idx="118">
                  <c:v>451.41</c:v>
                </c:pt>
                <c:pt idx="119">
                  <c:v>353.02</c:v>
                </c:pt>
                <c:pt idx="120">
                  <c:v>411.32</c:v>
                </c:pt>
                <c:pt idx="121">
                  <c:v>159.06</c:v>
                </c:pt>
                <c:pt idx="122">
                  <c:v>198.66</c:v>
                </c:pt>
                <c:pt idx="123">
                  <c:v>285.47</c:v>
                </c:pt>
                <c:pt idx="124">
                  <c:v>116.92</c:v>
                </c:pt>
                <c:pt idx="125">
                  <c:v>396.6</c:v>
                </c:pt>
                <c:pt idx="126">
                  <c:v>204.83</c:v>
                </c:pt>
                <c:pt idx="127">
                  <c:v>354.43</c:v>
                </c:pt>
                <c:pt idx="128">
                  <c:v>213.62</c:v>
                </c:pt>
                <c:pt idx="129">
                  <c:v>246.49</c:v>
                </c:pt>
                <c:pt idx="130">
                  <c:v>323.95</c:v>
                </c:pt>
                <c:pt idx="131">
                  <c:v>140.23</c:v>
                </c:pt>
                <c:pt idx="132">
                  <c:v>348.5</c:v>
                </c:pt>
                <c:pt idx="133">
                  <c:v>432.04</c:v>
                </c:pt>
                <c:pt idx="134">
                  <c:v>143.52</c:v>
                </c:pt>
                <c:pt idx="135">
                  <c:v>371.92</c:v>
                </c:pt>
                <c:pt idx="136">
                  <c:v>325.84</c:v>
                </c:pt>
                <c:pt idx="137">
                  <c:v>461.85</c:v>
                </c:pt>
                <c:pt idx="138">
                  <c:v>489.76</c:v>
                </c:pt>
                <c:pt idx="139">
                  <c:v>383.87</c:v>
                </c:pt>
                <c:pt idx="140">
                  <c:v>315.1</c:v>
                </c:pt>
                <c:pt idx="141">
                  <c:v>276.85</c:v>
                </c:pt>
                <c:pt idx="142">
                  <c:v>274.87</c:v>
                </c:pt>
                <c:pt idx="143">
                  <c:v>91.44</c:v>
                </c:pt>
                <c:pt idx="144">
                  <c:v>135.84</c:v>
                </c:pt>
                <c:pt idx="145">
                  <c:v>458.34</c:v>
                </c:pt>
                <c:pt idx="146">
                  <c:v>114.66</c:v>
                </c:pt>
                <c:pt idx="147">
                  <c:v>259.34</c:v>
                </c:pt>
                <c:pt idx="148">
                  <c:v>257.38</c:v>
                </c:pt>
                <c:pt idx="149">
                  <c:v>321.19</c:v>
                </c:pt>
                <c:pt idx="150">
                  <c:v>110.74</c:v>
                </c:pt>
                <c:pt idx="151">
                  <c:v>353.01</c:v>
                </c:pt>
                <c:pt idx="152">
                  <c:v>145.03</c:v>
                </c:pt>
                <c:pt idx="153">
                  <c:v>233.62</c:v>
                </c:pt>
                <c:pt idx="154">
                  <c:v>453.31</c:v>
                </c:pt>
                <c:pt idx="155">
                  <c:v>440.11</c:v>
                </c:pt>
                <c:pt idx="156">
                  <c:v>138.39</c:v>
                </c:pt>
                <c:pt idx="157">
                  <c:v>302.19</c:v>
                </c:pt>
                <c:pt idx="158">
                  <c:v>138.96</c:v>
                </c:pt>
                <c:pt idx="159">
                  <c:v>309.6</c:v>
                </c:pt>
                <c:pt idx="160">
                  <c:v>33.97</c:v>
                </c:pt>
                <c:pt idx="161">
                  <c:v>468.13</c:v>
                </c:pt>
                <c:pt idx="162">
                  <c:v>347.01</c:v>
                </c:pt>
                <c:pt idx="163">
                  <c:v>399.31</c:v>
                </c:pt>
                <c:pt idx="164">
                  <c:v>383.28</c:v>
                </c:pt>
                <c:pt idx="165">
                  <c:v>318.39</c:v>
                </c:pt>
                <c:pt idx="166">
                  <c:v>362.95</c:v>
                </c:pt>
                <c:pt idx="167">
                  <c:v>130.24</c:v>
                </c:pt>
                <c:pt idx="168">
                  <c:v>352.46</c:v>
                </c:pt>
                <c:pt idx="169">
                  <c:v>377.05</c:v>
                </c:pt>
                <c:pt idx="170">
                  <c:v>257.68</c:v>
                </c:pt>
                <c:pt idx="171">
                  <c:v>244.47</c:v>
                </c:pt>
                <c:pt idx="172">
                  <c:v>77.64</c:v>
                </c:pt>
                <c:pt idx="173">
                  <c:v>339.92</c:v>
                </c:pt>
                <c:pt idx="174">
                  <c:v>524.74</c:v>
                </c:pt>
                <c:pt idx="175">
                  <c:v>275.9</c:v>
                </c:pt>
                <c:pt idx="176">
                  <c:v>133.28</c:v>
                </c:pt>
                <c:pt idx="177">
                  <c:v>472.62</c:v>
                </c:pt>
                <c:pt idx="178">
                  <c:v>218.74</c:v>
                </c:pt>
                <c:pt idx="179">
                  <c:v>450.16</c:v>
                </c:pt>
                <c:pt idx="180">
                  <c:v>64.3</c:v>
                </c:pt>
                <c:pt idx="181">
                  <c:v>441.73</c:v>
                </c:pt>
                <c:pt idx="182">
                  <c:v>166.79</c:v>
                </c:pt>
                <c:pt idx="183">
                  <c:v>363.36</c:v>
                </c:pt>
                <c:pt idx="184">
                  <c:v>493.88</c:v>
                </c:pt>
                <c:pt idx="185">
                  <c:v>298.57</c:v>
                </c:pt>
                <c:pt idx="186">
                  <c:v>168.18</c:v>
                </c:pt>
                <c:pt idx="187">
                  <c:v>116.09</c:v>
                </c:pt>
                <c:pt idx="188">
                  <c:v>226.87</c:v>
                </c:pt>
                <c:pt idx="189">
                  <c:v>457.48</c:v>
                </c:pt>
                <c:pt idx="190">
                  <c:v>417.17</c:v>
                </c:pt>
                <c:pt idx="191">
                  <c:v>179.37</c:v>
                </c:pt>
                <c:pt idx="192">
                  <c:v>498.1</c:v>
                </c:pt>
                <c:pt idx="193">
                  <c:v>252.1</c:v>
                </c:pt>
                <c:pt idx="194">
                  <c:v>151.12</c:v>
                </c:pt>
                <c:pt idx="195">
                  <c:v>153.83</c:v>
                </c:pt>
                <c:pt idx="196">
                  <c:v>491.13</c:v>
                </c:pt>
                <c:pt idx="197">
                  <c:v>214.28</c:v>
                </c:pt>
                <c:pt idx="198">
                  <c:v>199.87</c:v>
                </c:pt>
                <c:pt idx="199">
                  <c:v>359.75</c:v>
                </c:pt>
                <c:pt idx="200">
                  <c:v>402.59</c:v>
                </c:pt>
                <c:pt idx="201">
                  <c:v>179.91</c:v>
                </c:pt>
                <c:pt idx="202">
                  <c:v>306.35</c:v>
                </c:pt>
                <c:pt idx="203">
                  <c:v>137.31</c:v>
                </c:pt>
                <c:pt idx="204">
                  <c:v>472.26</c:v>
                </c:pt>
                <c:pt idx="205">
                  <c:v>451.52</c:v>
                </c:pt>
                <c:pt idx="206">
                  <c:v>399</c:v>
                </c:pt>
                <c:pt idx="207">
                  <c:v>355.5</c:v>
                </c:pt>
                <c:pt idx="208">
                  <c:v>244.46</c:v>
                </c:pt>
                <c:pt idx="209">
                  <c:v>97.8</c:v>
                </c:pt>
                <c:pt idx="210">
                  <c:v>381.05</c:v>
                </c:pt>
                <c:pt idx="211">
                  <c:v>465.57</c:v>
                </c:pt>
                <c:pt idx="212">
                  <c:v>204.78</c:v>
                </c:pt>
                <c:pt idx="213">
                  <c:v>335.52</c:v>
                </c:pt>
                <c:pt idx="214">
                  <c:v>272.53</c:v>
                </c:pt>
                <c:pt idx="215">
                  <c:v>182.71</c:v>
                </c:pt>
                <c:pt idx="216">
                  <c:v>414.14</c:v>
                </c:pt>
                <c:pt idx="217">
                  <c:v>460.9</c:v>
                </c:pt>
                <c:pt idx="218">
                  <c:v>257.19</c:v>
                </c:pt>
                <c:pt idx="219">
                  <c:v>213.33</c:v>
                </c:pt>
                <c:pt idx="220">
                  <c:v>155.84</c:v>
                </c:pt>
                <c:pt idx="221">
                  <c:v>336.27</c:v>
                </c:pt>
                <c:pt idx="222">
                  <c:v>372.08</c:v>
                </c:pt>
                <c:pt idx="223">
                  <c:v>357.01</c:v>
                </c:pt>
                <c:pt idx="224">
                  <c:v>134.34</c:v>
                </c:pt>
                <c:pt idx="225">
                  <c:v>319.74</c:v>
                </c:pt>
                <c:pt idx="226">
                  <c:v>218.3</c:v>
                </c:pt>
                <c:pt idx="227">
                  <c:v>464.17</c:v>
                </c:pt>
                <c:pt idx="228">
                  <c:v>185.79</c:v>
                </c:pt>
                <c:pt idx="229">
                  <c:v>340.98</c:v>
                </c:pt>
                <c:pt idx="230">
                  <c:v>68.4</c:v>
                </c:pt>
                <c:pt idx="231">
                  <c:v>206.39</c:v>
                </c:pt>
                <c:pt idx="232">
                  <c:v>205.65</c:v>
                </c:pt>
                <c:pt idx="233">
                  <c:v>337.7</c:v>
                </c:pt>
                <c:pt idx="234">
                  <c:v>273.05</c:v>
                </c:pt>
                <c:pt idx="235">
                  <c:v>244.51</c:v>
                </c:pt>
                <c:pt idx="236">
                  <c:v>95.15</c:v>
                </c:pt>
                <c:pt idx="237">
                  <c:v>496.88</c:v>
                </c:pt>
                <c:pt idx="238">
                  <c:v>382.92</c:v>
                </c:pt>
                <c:pt idx="239">
                  <c:v>425.76</c:v>
                </c:pt>
                <c:pt idx="240">
                  <c:v>317.84</c:v>
                </c:pt>
                <c:pt idx="241">
                  <c:v>318.12</c:v>
                </c:pt>
                <c:pt idx="242">
                  <c:v>245.08</c:v>
                </c:pt>
                <c:pt idx="243">
                  <c:v>369.48</c:v>
                </c:pt>
                <c:pt idx="244">
                  <c:v>133.87</c:v>
                </c:pt>
                <c:pt idx="245">
                  <c:v>270.95</c:v>
                </c:pt>
                <c:pt idx="246">
                  <c:v>329.15</c:v>
                </c:pt>
                <c:pt idx="247">
                  <c:v>288.56</c:v>
                </c:pt>
                <c:pt idx="248">
                  <c:v>464.84</c:v>
                </c:pt>
                <c:pt idx="249">
                  <c:v>247.66</c:v>
                </c:pt>
                <c:pt idx="250">
                  <c:v>117.7</c:v>
                </c:pt>
                <c:pt idx="251">
                  <c:v>393.99</c:v>
                </c:pt>
                <c:pt idx="252">
                  <c:v>119.58</c:v>
                </c:pt>
                <c:pt idx="253">
                  <c:v>227.11</c:v>
                </c:pt>
                <c:pt idx="254">
                  <c:v>447.96</c:v>
                </c:pt>
                <c:pt idx="255">
                  <c:v>358.79</c:v>
                </c:pt>
                <c:pt idx="256">
                  <c:v>203.03</c:v>
                </c:pt>
                <c:pt idx="257">
                  <c:v>77.55</c:v>
                </c:pt>
                <c:pt idx="258">
                  <c:v>281.11</c:v>
                </c:pt>
                <c:pt idx="259">
                  <c:v>370.08</c:v>
                </c:pt>
                <c:pt idx="260">
                  <c:v>356.61</c:v>
                </c:pt>
                <c:pt idx="261">
                  <c:v>432.01</c:v>
                </c:pt>
                <c:pt idx="262">
                  <c:v>410.26</c:v>
                </c:pt>
                <c:pt idx="263">
                  <c:v>313.82</c:v>
                </c:pt>
                <c:pt idx="264">
                  <c:v>460.27</c:v>
                </c:pt>
                <c:pt idx="265">
                  <c:v>468.16</c:v>
                </c:pt>
                <c:pt idx="266">
                  <c:v>428.3</c:v>
                </c:pt>
                <c:pt idx="267">
                  <c:v>158.61</c:v>
                </c:pt>
                <c:pt idx="268">
                  <c:v>90.04</c:v>
                </c:pt>
                <c:pt idx="269">
                  <c:v>251.43</c:v>
                </c:pt>
                <c:pt idx="270">
                  <c:v>120.78</c:v>
                </c:pt>
                <c:pt idx="271">
                  <c:v>150.07</c:v>
                </c:pt>
                <c:pt idx="272">
                  <c:v>256.72</c:v>
                </c:pt>
                <c:pt idx="273">
                  <c:v>126.54</c:v>
                </c:pt>
                <c:pt idx="274">
                  <c:v>102.28</c:v>
                </c:pt>
                <c:pt idx="275">
                  <c:v>246.58</c:v>
                </c:pt>
                <c:pt idx="276">
                  <c:v>140.27</c:v>
                </c:pt>
                <c:pt idx="277">
                  <c:v>341.67</c:v>
                </c:pt>
                <c:pt idx="278">
                  <c:v>101.68</c:v>
                </c:pt>
                <c:pt idx="279">
                  <c:v>114.11</c:v>
                </c:pt>
                <c:pt idx="280">
                  <c:v>207.01</c:v>
                </c:pt>
                <c:pt idx="281">
                  <c:v>367.1</c:v>
                </c:pt>
                <c:pt idx="282">
                  <c:v>117.3</c:v>
                </c:pt>
                <c:pt idx="283">
                  <c:v>181.81</c:v>
                </c:pt>
                <c:pt idx="284">
                  <c:v>243.47</c:v>
                </c:pt>
                <c:pt idx="285">
                  <c:v>477.67</c:v>
                </c:pt>
                <c:pt idx="286">
                  <c:v>147.29</c:v>
                </c:pt>
                <c:pt idx="287">
                  <c:v>334.88</c:v>
                </c:pt>
                <c:pt idx="288">
                  <c:v>395.64</c:v>
                </c:pt>
                <c:pt idx="289">
                  <c:v>96.88</c:v>
                </c:pt>
                <c:pt idx="290">
                  <c:v>324.02</c:v>
                </c:pt>
                <c:pt idx="291">
                  <c:v>199.14</c:v>
                </c:pt>
                <c:pt idx="292">
                  <c:v>130.95</c:v>
                </c:pt>
                <c:pt idx="293">
                  <c:v>291.54</c:v>
                </c:pt>
                <c:pt idx="294">
                  <c:v>470.01</c:v>
                </c:pt>
                <c:pt idx="295">
                  <c:v>305.22</c:v>
                </c:pt>
                <c:pt idx="296">
                  <c:v>105.72</c:v>
                </c:pt>
                <c:pt idx="297">
                  <c:v>233.18</c:v>
                </c:pt>
                <c:pt idx="298">
                  <c:v>460.21</c:v>
                </c:pt>
                <c:pt idx="299">
                  <c:v>2.19</c:v>
                </c:pt>
                <c:pt idx="300">
                  <c:v>178.23</c:v>
                </c:pt>
                <c:pt idx="301">
                  <c:v>140.24</c:v>
                </c:pt>
                <c:pt idx="302">
                  <c:v>439.27</c:v>
                </c:pt>
                <c:pt idx="303">
                  <c:v>465.08</c:v>
                </c:pt>
                <c:pt idx="304">
                  <c:v>459.83</c:v>
                </c:pt>
                <c:pt idx="305">
                  <c:v>439.89</c:v>
                </c:pt>
                <c:pt idx="306">
                  <c:v>359.96</c:v>
                </c:pt>
                <c:pt idx="307">
                  <c:v>317.57</c:v>
                </c:pt>
                <c:pt idx="308">
                  <c:v>224.78</c:v>
                </c:pt>
                <c:pt idx="309">
                  <c:v>110.36</c:v>
                </c:pt>
                <c:pt idx="310">
                  <c:v>365.54</c:v>
                </c:pt>
                <c:pt idx="311">
                  <c:v>181.12</c:v>
                </c:pt>
                <c:pt idx="312">
                  <c:v>494.73</c:v>
                </c:pt>
                <c:pt idx="313">
                  <c:v>402.03</c:v>
                </c:pt>
                <c:pt idx="314">
                  <c:v>340.06</c:v>
                </c:pt>
                <c:pt idx="315">
                  <c:v>190.66</c:v>
                </c:pt>
                <c:pt idx="316">
                  <c:v>465.16</c:v>
                </c:pt>
                <c:pt idx="317">
                  <c:v>258.41</c:v>
                </c:pt>
                <c:pt idx="318">
                  <c:v>192.26</c:v>
                </c:pt>
                <c:pt idx="319">
                  <c:v>370.04</c:v>
                </c:pt>
                <c:pt idx="320">
                  <c:v>489.64</c:v>
                </c:pt>
                <c:pt idx="321">
                  <c:v>311.4</c:v>
                </c:pt>
                <c:pt idx="322">
                  <c:v>340.01</c:v>
                </c:pt>
                <c:pt idx="323">
                  <c:v>348.49</c:v>
                </c:pt>
                <c:pt idx="324">
                  <c:v>337.42</c:v>
                </c:pt>
                <c:pt idx="325">
                  <c:v>103.76</c:v>
                </c:pt>
                <c:pt idx="326">
                  <c:v>308.72</c:v>
                </c:pt>
                <c:pt idx="327">
                  <c:v>203</c:v>
                </c:pt>
                <c:pt idx="328">
                  <c:v>112.43</c:v>
                </c:pt>
                <c:pt idx="329">
                  <c:v>121.43</c:v>
                </c:pt>
                <c:pt idx="330">
                  <c:v>379.95</c:v>
                </c:pt>
                <c:pt idx="331">
                  <c:v>362.48</c:v>
                </c:pt>
                <c:pt idx="332">
                  <c:v>470.74</c:v>
                </c:pt>
                <c:pt idx="333">
                  <c:v>305.26</c:v>
                </c:pt>
                <c:pt idx="334">
                  <c:v>241.35</c:v>
                </c:pt>
                <c:pt idx="335">
                  <c:v>213.14</c:v>
                </c:pt>
                <c:pt idx="336">
                  <c:v>237.07</c:v>
                </c:pt>
                <c:pt idx="337">
                  <c:v>359.41</c:v>
                </c:pt>
                <c:pt idx="338">
                  <c:v>225.18</c:v>
                </c:pt>
                <c:pt idx="339">
                  <c:v>88.21</c:v>
                </c:pt>
                <c:pt idx="340">
                  <c:v>325.42</c:v>
                </c:pt>
                <c:pt idx="341">
                  <c:v>334.97</c:v>
                </c:pt>
                <c:pt idx="342">
                  <c:v>298.36</c:v>
                </c:pt>
                <c:pt idx="343">
                  <c:v>95.44</c:v>
                </c:pt>
                <c:pt idx="344">
                  <c:v>401.9</c:v>
                </c:pt>
                <c:pt idx="345">
                  <c:v>278.63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318206"/>
        <c:axId val="496991453"/>
      </c:scatterChart>
      <c:valAx>
        <c:axId val="7903182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991453"/>
        <c:crosses val="autoZero"/>
        <c:crossBetween val="midCat"/>
      </c:valAx>
      <c:valAx>
        <c:axId val="4969914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31820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73957a-5b6b-4757-b79c-a840852324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Monthy sales trendline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Sheet8!$G$1</c:f>
              <c:strCache>
                <c:ptCount val="1"/>
                <c:pt idx="0">
                  <c:v>Average actual montly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Sheet8!$F$2:$F$13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Sheet8!$G$2:$G$13</c:f>
              <c:numCache>
                <c:formatCode>General</c:formatCode>
                <c:ptCount val="12"/>
                <c:pt idx="0">
                  <c:v>7180.04</c:v>
                </c:pt>
                <c:pt idx="1">
                  <c:v>8816.06</c:v>
                </c:pt>
                <c:pt idx="2">
                  <c:v>9888.57</c:v>
                </c:pt>
                <c:pt idx="3">
                  <c:v>9743.46</c:v>
                </c:pt>
                <c:pt idx="4">
                  <c:v>9161.56</c:v>
                </c:pt>
                <c:pt idx="5">
                  <c:v>8470.67</c:v>
                </c:pt>
                <c:pt idx="6">
                  <c:v>9337.71</c:v>
                </c:pt>
                <c:pt idx="7">
                  <c:v>8697.73</c:v>
                </c:pt>
                <c:pt idx="8">
                  <c:v>9419.17</c:v>
                </c:pt>
                <c:pt idx="9">
                  <c:v>7131.21</c:v>
                </c:pt>
                <c:pt idx="10">
                  <c:v>4920.88</c:v>
                </c:pt>
                <c:pt idx="11">
                  <c:v>8770.34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Sheet8!$H$1</c:f>
              <c:strCache>
                <c:ptCount val="1"/>
                <c:pt idx="0">
                  <c:v>average forecasted monthly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Sheet8!$F$2:$F$13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Sheet8!$H$2:$H$13</c:f>
              <c:numCache>
                <c:formatCode>General</c:formatCode>
                <c:ptCount val="12"/>
                <c:pt idx="0">
                  <c:v>10049.8075</c:v>
                </c:pt>
                <c:pt idx="1">
                  <c:v>10655.752</c:v>
                </c:pt>
                <c:pt idx="2">
                  <c:v>11940.872</c:v>
                </c:pt>
                <c:pt idx="3">
                  <c:v>11604.9015</c:v>
                </c:pt>
                <c:pt idx="4">
                  <c:v>11861.3005</c:v>
                </c:pt>
                <c:pt idx="5">
                  <c:v>11668.8935</c:v>
                </c:pt>
                <c:pt idx="6">
                  <c:v>12202.974</c:v>
                </c:pt>
                <c:pt idx="7">
                  <c:v>12217.881</c:v>
                </c:pt>
                <c:pt idx="8">
                  <c:v>11706.74</c:v>
                </c:pt>
                <c:pt idx="9">
                  <c:v>12268.1445</c:v>
                </c:pt>
                <c:pt idx="10">
                  <c:v>6387.458</c:v>
                </c:pt>
                <c:pt idx="11">
                  <c:v>12355.1625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808488"/>
        <c:axId val="856632535"/>
      </c:lineChart>
      <c:catAx>
        <c:axId val="289808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632535"/>
        <c:crosses val="autoZero"/>
        <c:auto val="1"/>
        <c:lblAlgn val="ctr"/>
        <c:lblOffset val="100"/>
        <c:noMultiLvlLbl val="0"/>
      </c:catAx>
      <c:valAx>
        <c:axId val="856632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980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c293a3-0b2c-4195-88e7-635d9e0be9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Forecasting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309843400447427"/>
          <c:y val="0.02314814814814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Sheet8!$G$1</c:f>
              <c:strCache>
                <c:ptCount val="1"/>
                <c:pt idx="0">
                  <c:v>Average actual montly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Sheet8!$F$2:$F$13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Sheet8!$G$2:$G$13</c:f>
              <c:numCache>
                <c:formatCode>General</c:formatCode>
                <c:ptCount val="12"/>
                <c:pt idx="0">
                  <c:v>7180.04</c:v>
                </c:pt>
                <c:pt idx="1">
                  <c:v>8816.06</c:v>
                </c:pt>
                <c:pt idx="2">
                  <c:v>9888.57</c:v>
                </c:pt>
                <c:pt idx="3">
                  <c:v>9743.46</c:v>
                </c:pt>
                <c:pt idx="4">
                  <c:v>9161.56</c:v>
                </c:pt>
                <c:pt idx="5">
                  <c:v>8470.67</c:v>
                </c:pt>
                <c:pt idx="6">
                  <c:v>9337.71</c:v>
                </c:pt>
                <c:pt idx="7">
                  <c:v>8697.73</c:v>
                </c:pt>
                <c:pt idx="8">
                  <c:v>9419.17</c:v>
                </c:pt>
                <c:pt idx="9">
                  <c:v>7131.21</c:v>
                </c:pt>
                <c:pt idx="10">
                  <c:v>4920.88</c:v>
                </c:pt>
                <c:pt idx="11">
                  <c:v>8770.34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Sheet8!$H$1</c:f>
              <c:strCache>
                <c:ptCount val="1"/>
                <c:pt idx="0">
                  <c:v>average forecasted monthly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Sheet8!$F$2:$F$13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Sheet8!$H$2:$H$13</c:f>
              <c:numCache>
                <c:formatCode>General</c:formatCode>
                <c:ptCount val="12"/>
                <c:pt idx="0">
                  <c:v>10049.8075</c:v>
                </c:pt>
                <c:pt idx="1">
                  <c:v>10655.752</c:v>
                </c:pt>
                <c:pt idx="2">
                  <c:v>11940.872</c:v>
                </c:pt>
                <c:pt idx="3">
                  <c:v>11604.9015</c:v>
                </c:pt>
                <c:pt idx="4">
                  <c:v>11861.3005</c:v>
                </c:pt>
                <c:pt idx="5">
                  <c:v>11668.8935</c:v>
                </c:pt>
                <c:pt idx="6">
                  <c:v>12202.974</c:v>
                </c:pt>
                <c:pt idx="7">
                  <c:v>12217.881</c:v>
                </c:pt>
                <c:pt idx="8">
                  <c:v>11706.74</c:v>
                </c:pt>
                <c:pt idx="9">
                  <c:v>12268.1445</c:v>
                </c:pt>
                <c:pt idx="10">
                  <c:v>6387.458</c:v>
                </c:pt>
                <c:pt idx="11">
                  <c:v>12355.1625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808488"/>
        <c:axId val="856632535"/>
      </c:lineChart>
      <c:catAx>
        <c:axId val="289808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632535"/>
        <c:crosses val="autoZero"/>
        <c:auto val="1"/>
        <c:lblAlgn val="ctr"/>
        <c:lblOffset val="100"/>
        <c:noMultiLvlLbl val="0"/>
      </c:catAx>
      <c:valAx>
        <c:axId val="856632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980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596610-871a-4333-bc70-680bc028fb65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marketing spend vs sales relationship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47625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Sheet5!$D$4:$D$349</c:f>
              <c:numCache>
                <c:formatCode>General</c:formatCode>
                <c:ptCount val="346"/>
                <c:pt idx="0">
                  <c:v>7265</c:v>
                </c:pt>
                <c:pt idx="1">
                  <c:v>7266</c:v>
                </c:pt>
                <c:pt idx="2">
                  <c:v>7267</c:v>
                </c:pt>
                <c:pt idx="3">
                  <c:v>7268</c:v>
                </c:pt>
                <c:pt idx="4">
                  <c:v>7269</c:v>
                </c:pt>
                <c:pt idx="5">
                  <c:v>7270</c:v>
                </c:pt>
                <c:pt idx="6">
                  <c:v>7271</c:v>
                </c:pt>
                <c:pt idx="7">
                  <c:v>7272</c:v>
                </c:pt>
                <c:pt idx="8">
                  <c:v>7273</c:v>
                </c:pt>
                <c:pt idx="9">
                  <c:v>7274</c:v>
                </c:pt>
                <c:pt idx="10">
                  <c:v>7275</c:v>
                </c:pt>
                <c:pt idx="11">
                  <c:v>7276</c:v>
                </c:pt>
                <c:pt idx="12">
                  <c:v>7277</c:v>
                </c:pt>
                <c:pt idx="13">
                  <c:v>7278</c:v>
                </c:pt>
                <c:pt idx="14">
                  <c:v>7279</c:v>
                </c:pt>
                <c:pt idx="15">
                  <c:v>7280</c:v>
                </c:pt>
                <c:pt idx="16">
                  <c:v>7281</c:v>
                </c:pt>
                <c:pt idx="17">
                  <c:v>7282</c:v>
                </c:pt>
                <c:pt idx="18">
                  <c:v>7283</c:v>
                </c:pt>
                <c:pt idx="19">
                  <c:v>7284</c:v>
                </c:pt>
                <c:pt idx="20">
                  <c:v>7285</c:v>
                </c:pt>
                <c:pt idx="21">
                  <c:v>7286</c:v>
                </c:pt>
                <c:pt idx="22">
                  <c:v>7287</c:v>
                </c:pt>
                <c:pt idx="23">
                  <c:v>7288</c:v>
                </c:pt>
                <c:pt idx="24">
                  <c:v>7289</c:v>
                </c:pt>
                <c:pt idx="25">
                  <c:v>7290</c:v>
                </c:pt>
                <c:pt idx="26">
                  <c:v>7291</c:v>
                </c:pt>
                <c:pt idx="27">
                  <c:v>7292</c:v>
                </c:pt>
                <c:pt idx="28">
                  <c:v>7293</c:v>
                </c:pt>
                <c:pt idx="29">
                  <c:v>7294</c:v>
                </c:pt>
                <c:pt idx="30">
                  <c:v>7295</c:v>
                </c:pt>
                <c:pt idx="31">
                  <c:v>7296</c:v>
                </c:pt>
                <c:pt idx="32">
                  <c:v>7297</c:v>
                </c:pt>
                <c:pt idx="33">
                  <c:v>7298</c:v>
                </c:pt>
                <c:pt idx="34">
                  <c:v>7299</c:v>
                </c:pt>
                <c:pt idx="35">
                  <c:v>7300</c:v>
                </c:pt>
                <c:pt idx="36">
                  <c:v>7301</c:v>
                </c:pt>
                <c:pt idx="37">
                  <c:v>7302</c:v>
                </c:pt>
                <c:pt idx="38">
                  <c:v>7303</c:v>
                </c:pt>
                <c:pt idx="39">
                  <c:v>7304</c:v>
                </c:pt>
                <c:pt idx="40">
                  <c:v>7305</c:v>
                </c:pt>
                <c:pt idx="41">
                  <c:v>7306</c:v>
                </c:pt>
                <c:pt idx="42">
                  <c:v>7307</c:v>
                </c:pt>
                <c:pt idx="43">
                  <c:v>7308</c:v>
                </c:pt>
                <c:pt idx="44">
                  <c:v>7309</c:v>
                </c:pt>
                <c:pt idx="45">
                  <c:v>7310</c:v>
                </c:pt>
                <c:pt idx="46">
                  <c:v>7311</c:v>
                </c:pt>
                <c:pt idx="47">
                  <c:v>7312</c:v>
                </c:pt>
                <c:pt idx="48">
                  <c:v>7313</c:v>
                </c:pt>
                <c:pt idx="49">
                  <c:v>7314</c:v>
                </c:pt>
                <c:pt idx="50">
                  <c:v>7315</c:v>
                </c:pt>
                <c:pt idx="51">
                  <c:v>7316</c:v>
                </c:pt>
                <c:pt idx="52">
                  <c:v>7317</c:v>
                </c:pt>
                <c:pt idx="53">
                  <c:v>7318</c:v>
                </c:pt>
                <c:pt idx="54">
                  <c:v>7319</c:v>
                </c:pt>
                <c:pt idx="55">
                  <c:v>7320</c:v>
                </c:pt>
                <c:pt idx="56">
                  <c:v>7321</c:v>
                </c:pt>
                <c:pt idx="57">
                  <c:v>7322</c:v>
                </c:pt>
                <c:pt idx="58">
                  <c:v>7323</c:v>
                </c:pt>
                <c:pt idx="59">
                  <c:v>7324</c:v>
                </c:pt>
                <c:pt idx="60">
                  <c:v>7325</c:v>
                </c:pt>
                <c:pt idx="61">
                  <c:v>7326</c:v>
                </c:pt>
                <c:pt idx="62">
                  <c:v>7327</c:v>
                </c:pt>
                <c:pt idx="63">
                  <c:v>7328</c:v>
                </c:pt>
                <c:pt idx="64">
                  <c:v>7329</c:v>
                </c:pt>
                <c:pt idx="65">
                  <c:v>7330</c:v>
                </c:pt>
                <c:pt idx="66">
                  <c:v>7331</c:v>
                </c:pt>
                <c:pt idx="67">
                  <c:v>7332</c:v>
                </c:pt>
                <c:pt idx="68">
                  <c:v>7333</c:v>
                </c:pt>
                <c:pt idx="69">
                  <c:v>7334</c:v>
                </c:pt>
                <c:pt idx="70">
                  <c:v>7335</c:v>
                </c:pt>
                <c:pt idx="71">
                  <c:v>7336</c:v>
                </c:pt>
                <c:pt idx="72">
                  <c:v>7337</c:v>
                </c:pt>
                <c:pt idx="73">
                  <c:v>7338</c:v>
                </c:pt>
                <c:pt idx="74">
                  <c:v>7339</c:v>
                </c:pt>
                <c:pt idx="75">
                  <c:v>7340</c:v>
                </c:pt>
                <c:pt idx="76">
                  <c:v>7341</c:v>
                </c:pt>
                <c:pt idx="77">
                  <c:v>7342</c:v>
                </c:pt>
                <c:pt idx="78">
                  <c:v>7343</c:v>
                </c:pt>
                <c:pt idx="79">
                  <c:v>7344</c:v>
                </c:pt>
                <c:pt idx="80">
                  <c:v>7345</c:v>
                </c:pt>
                <c:pt idx="81">
                  <c:v>7346</c:v>
                </c:pt>
                <c:pt idx="82">
                  <c:v>7347</c:v>
                </c:pt>
                <c:pt idx="83">
                  <c:v>7348</c:v>
                </c:pt>
                <c:pt idx="84">
                  <c:v>7349</c:v>
                </c:pt>
                <c:pt idx="85">
                  <c:v>7350</c:v>
                </c:pt>
                <c:pt idx="86">
                  <c:v>7351</c:v>
                </c:pt>
                <c:pt idx="87">
                  <c:v>7352</c:v>
                </c:pt>
                <c:pt idx="88">
                  <c:v>7353</c:v>
                </c:pt>
                <c:pt idx="89">
                  <c:v>7354</c:v>
                </c:pt>
                <c:pt idx="90">
                  <c:v>7355</c:v>
                </c:pt>
                <c:pt idx="91">
                  <c:v>7356</c:v>
                </c:pt>
                <c:pt idx="92">
                  <c:v>7357</c:v>
                </c:pt>
                <c:pt idx="93">
                  <c:v>7358</c:v>
                </c:pt>
                <c:pt idx="94">
                  <c:v>7359</c:v>
                </c:pt>
                <c:pt idx="95">
                  <c:v>7360</c:v>
                </c:pt>
                <c:pt idx="96">
                  <c:v>7361</c:v>
                </c:pt>
                <c:pt idx="97">
                  <c:v>7362</c:v>
                </c:pt>
                <c:pt idx="98">
                  <c:v>7363</c:v>
                </c:pt>
                <c:pt idx="99">
                  <c:v>7364</c:v>
                </c:pt>
                <c:pt idx="100">
                  <c:v>7365</c:v>
                </c:pt>
                <c:pt idx="101">
                  <c:v>7366</c:v>
                </c:pt>
                <c:pt idx="102">
                  <c:v>7367</c:v>
                </c:pt>
                <c:pt idx="103">
                  <c:v>7368</c:v>
                </c:pt>
                <c:pt idx="104">
                  <c:v>7369</c:v>
                </c:pt>
                <c:pt idx="105">
                  <c:v>7370</c:v>
                </c:pt>
                <c:pt idx="106">
                  <c:v>7371</c:v>
                </c:pt>
                <c:pt idx="107">
                  <c:v>7372</c:v>
                </c:pt>
                <c:pt idx="108">
                  <c:v>7373</c:v>
                </c:pt>
                <c:pt idx="109">
                  <c:v>7374</c:v>
                </c:pt>
                <c:pt idx="110">
                  <c:v>7375</c:v>
                </c:pt>
                <c:pt idx="111">
                  <c:v>7376</c:v>
                </c:pt>
                <c:pt idx="112">
                  <c:v>7377</c:v>
                </c:pt>
                <c:pt idx="113">
                  <c:v>7378</c:v>
                </c:pt>
                <c:pt idx="114">
                  <c:v>7379</c:v>
                </c:pt>
                <c:pt idx="115">
                  <c:v>7380</c:v>
                </c:pt>
                <c:pt idx="116">
                  <c:v>7381</c:v>
                </c:pt>
                <c:pt idx="117">
                  <c:v>7382</c:v>
                </c:pt>
                <c:pt idx="118">
                  <c:v>7383</c:v>
                </c:pt>
                <c:pt idx="119">
                  <c:v>7384</c:v>
                </c:pt>
                <c:pt idx="120">
                  <c:v>7385</c:v>
                </c:pt>
                <c:pt idx="121">
                  <c:v>7386</c:v>
                </c:pt>
                <c:pt idx="122">
                  <c:v>7387</c:v>
                </c:pt>
                <c:pt idx="123">
                  <c:v>7388</c:v>
                </c:pt>
                <c:pt idx="124">
                  <c:v>7389</c:v>
                </c:pt>
                <c:pt idx="125">
                  <c:v>7390</c:v>
                </c:pt>
                <c:pt idx="126">
                  <c:v>7391</c:v>
                </c:pt>
                <c:pt idx="127">
                  <c:v>7392</c:v>
                </c:pt>
                <c:pt idx="128">
                  <c:v>7393</c:v>
                </c:pt>
                <c:pt idx="129">
                  <c:v>7394</c:v>
                </c:pt>
                <c:pt idx="130">
                  <c:v>7395</c:v>
                </c:pt>
                <c:pt idx="131">
                  <c:v>7396</c:v>
                </c:pt>
                <c:pt idx="132">
                  <c:v>7397</c:v>
                </c:pt>
                <c:pt idx="133">
                  <c:v>7398</c:v>
                </c:pt>
                <c:pt idx="134">
                  <c:v>7399</c:v>
                </c:pt>
                <c:pt idx="135">
                  <c:v>7400</c:v>
                </c:pt>
                <c:pt idx="136">
                  <c:v>7401</c:v>
                </c:pt>
                <c:pt idx="137">
                  <c:v>7402</c:v>
                </c:pt>
                <c:pt idx="138">
                  <c:v>7403</c:v>
                </c:pt>
                <c:pt idx="139">
                  <c:v>7404</c:v>
                </c:pt>
                <c:pt idx="140">
                  <c:v>7405</c:v>
                </c:pt>
                <c:pt idx="141">
                  <c:v>7406</c:v>
                </c:pt>
                <c:pt idx="142">
                  <c:v>7407</c:v>
                </c:pt>
                <c:pt idx="143">
                  <c:v>7408</c:v>
                </c:pt>
                <c:pt idx="144">
                  <c:v>7409</c:v>
                </c:pt>
                <c:pt idx="145">
                  <c:v>7410</c:v>
                </c:pt>
                <c:pt idx="146">
                  <c:v>7411</c:v>
                </c:pt>
                <c:pt idx="147">
                  <c:v>7412</c:v>
                </c:pt>
                <c:pt idx="148">
                  <c:v>7413</c:v>
                </c:pt>
                <c:pt idx="149">
                  <c:v>7414</c:v>
                </c:pt>
                <c:pt idx="150">
                  <c:v>7415</c:v>
                </c:pt>
                <c:pt idx="151">
                  <c:v>7416</c:v>
                </c:pt>
                <c:pt idx="152">
                  <c:v>7417</c:v>
                </c:pt>
                <c:pt idx="153">
                  <c:v>7418</c:v>
                </c:pt>
                <c:pt idx="154">
                  <c:v>7419</c:v>
                </c:pt>
                <c:pt idx="155">
                  <c:v>7420</c:v>
                </c:pt>
                <c:pt idx="156">
                  <c:v>7421</c:v>
                </c:pt>
                <c:pt idx="157">
                  <c:v>7422</c:v>
                </c:pt>
                <c:pt idx="158">
                  <c:v>7423</c:v>
                </c:pt>
                <c:pt idx="159">
                  <c:v>7424</c:v>
                </c:pt>
                <c:pt idx="160">
                  <c:v>7425</c:v>
                </c:pt>
                <c:pt idx="161">
                  <c:v>7426</c:v>
                </c:pt>
                <c:pt idx="162">
                  <c:v>7427</c:v>
                </c:pt>
                <c:pt idx="163">
                  <c:v>7428</c:v>
                </c:pt>
                <c:pt idx="164">
                  <c:v>7429</c:v>
                </c:pt>
                <c:pt idx="165">
                  <c:v>7430</c:v>
                </c:pt>
                <c:pt idx="166">
                  <c:v>7431</c:v>
                </c:pt>
                <c:pt idx="167">
                  <c:v>7432</c:v>
                </c:pt>
                <c:pt idx="168">
                  <c:v>7433</c:v>
                </c:pt>
                <c:pt idx="169">
                  <c:v>7434</c:v>
                </c:pt>
                <c:pt idx="170">
                  <c:v>7435</c:v>
                </c:pt>
                <c:pt idx="171">
                  <c:v>7436</c:v>
                </c:pt>
                <c:pt idx="172">
                  <c:v>7437</c:v>
                </c:pt>
                <c:pt idx="173">
                  <c:v>7438</c:v>
                </c:pt>
                <c:pt idx="174">
                  <c:v>7439</c:v>
                </c:pt>
                <c:pt idx="175">
                  <c:v>7440</c:v>
                </c:pt>
                <c:pt idx="176">
                  <c:v>7441</c:v>
                </c:pt>
                <c:pt idx="177">
                  <c:v>7442</c:v>
                </c:pt>
                <c:pt idx="178">
                  <c:v>7443</c:v>
                </c:pt>
                <c:pt idx="179">
                  <c:v>7444</c:v>
                </c:pt>
                <c:pt idx="180">
                  <c:v>7445</c:v>
                </c:pt>
                <c:pt idx="181">
                  <c:v>7446</c:v>
                </c:pt>
                <c:pt idx="182">
                  <c:v>7447</c:v>
                </c:pt>
                <c:pt idx="183">
                  <c:v>7448</c:v>
                </c:pt>
                <c:pt idx="184">
                  <c:v>7449</c:v>
                </c:pt>
                <c:pt idx="185">
                  <c:v>7450</c:v>
                </c:pt>
                <c:pt idx="186">
                  <c:v>7451</c:v>
                </c:pt>
                <c:pt idx="187">
                  <c:v>7452</c:v>
                </c:pt>
                <c:pt idx="188">
                  <c:v>7453</c:v>
                </c:pt>
                <c:pt idx="189">
                  <c:v>7454</c:v>
                </c:pt>
                <c:pt idx="190">
                  <c:v>7455</c:v>
                </c:pt>
                <c:pt idx="191">
                  <c:v>7456</c:v>
                </c:pt>
                <c:pt idx="192">
                  <c:v>7457</c:v>
                </c:pt>
                <c:pt idx="193">
                  <c:v>7458</c:v>
                </c:pt>
                <c:pt idx="194">
                  <c:v>7459</c:v>
                </c:pt>
                <c:pt idx="195">
                  <c:v>7460</c:v>
                </c:pt>
                <c:pt idx="196">
                  <c:v>7461</c:v>
                </c:pt>
                <c:pt idx="197">
                  <c:v>7462</c:v>
                </c:pt>
                <c:pt idx="198">
                  <c:v>7463</c:v>
                </c:pt>
                <c:pt idx="199">
                  <c:v>7464</c:v>
                </c:pt>
                <c:pt idx="200">
                  <c:v>7465</c:v>
                </c:pt>
                <c:pt idx="201">
                  <c:v>7466</c:v>
                </c:pt>
                <c:pt idx="202">
                  <c:v>7467</c:v>
                </c:pt>
                <c:pt idx="203">
                  <c:v>7468</c:v>
                </c:pt>
                <c:pt idx="204">
                  <c:v>7469</c:v>
                </c:pt>
                <c:pt idx="205">
                  <c:v>7470</c:v>
                </c:pt>
                <c:pt idx="206">
                  <c:v>7471</c:v>
                </c:pt>
                <c:pt idx="207">
                  <c:v>7472</c:v>
                </c:pt>
                <c:pt idx="208">
                  <c:v>7473</c:v>
                </c:pt>
                <c:pt idx="209">
                  <c:v>7474</c:v>
                </c:pt>
                <c:pt idx="210">
                  <c:v>7475</c:v>
                </c:pt>
                <c:pt idx="211">
                  <c:v>7476</c:v>
                </c:pt>
                <c:pt idx="212">
                  <c:v>7477</c:v>
                </c:pt>
                <c:pt idx="213">
                  <c:v>7478</c:v>
                </c:pt>
                <c:pt idx="214">
                  <c:v>7479</c:v>
                </c:pt>
                <c:pt idx="215">
                  <c:v>7480</c:v>
                </c:pt>
                <c:pt idx="216">
                  <c:v>7481</c:v>
                </c:pt>
                <c:pt idx="217">
                  <c:v>7482</c:v>
                </c:pt>
                <c:pt idx="218">
                  <c:v>7483</c:v>
                </c:pt>
                <c:pt idx="219">
                  <c:v>7484</c:v>
                </c:pt>
                <c:pt idx="220">
                  <c:v>7485</c:v>
                </c:pt>
                <c:pt idx="221">
                  <c:v>7486</c:v>
                </c:pt>
                <c:pt idx="222">
                  <c:v>7487</c:v>
                </c:pt>
                <c:pt idx="223">
                  <c:v>7488</c:v>
                </c:pt>
                <c:pt idx="224">
                  <c:v>7489</c:v>
                </c:pt>
                <c:pt idx="225">
                  <c:v>7490</c:v>
                </c:pt>
                <c:pt idx="226">
                  <c:v>7491</c:v>
                </c:pt>
                <c:pt idx="227">
                  <c:v>7492</c:v>
                </c:pt>
                <c:pt idx="228">
                  <c:v>7493</c:v>
                </c:pt>
                <c:pt idx="229">
                  <c:v>7494</c:v>
                </c:pt>
                <c:pt idx="230">
                  <c:v>7495</c:v>
                </c:pt>
                <c:pt idx="231">
                  <c:v>7496</c:v>
                </c:pt>
                <c:pt idx="232">
                  <c:v>7497</c:v>
                </c:pt>
                <c:pt idx="233">
                  <c:v>7498</c:v>
                </c:pt>
                <c:pt idx="234">
                  <c:v>7499</c:v>
                </c:pt>
                <c:pt idx="235">
                  <c:v>7500</c:v>
                </c:pt>
                <c:pt idx="236">
                  <c:v>7501</c:v>
                </c:pt>
                <c:pt idx="237">
                  <c:v>7502</c:v>
                </c:pt>
                <c:pt idx="238">
                  <c:v>7503</c:v>
                </c:pt>
                <c:pt idx="239">
                  <c:v>7504</c:v>
                </c:pt>
                <c:pt idx="240">
                  <c:v>7505</c:v>
                </c:pt>
                <c:pt idx="241">
                  <c:v>7506</c:v>
                </c:pt>
                <c:pt idx="242">
                  <c:v>7507</c:v>
                </c:pt>
                <c:pt idx="243">
                  <c:v>7508</c:v>
                </c:pt>
                <c:pt idx="244">
                  <c:v>7509</c:v>
                </c:pt>
                <c:pt idx="245">
                  <c:v>7510</c:v>
                </c:pt>
                <c:pt idx="246">
                  <c:v>7511</c:v>
                </c:pt>
                <c:pt idx="247">
                  <c:v>7512</c:v>
                </c:pt>
                <c:pt idx="248">
                  <c:v>7513</c:v>
                </c:pt>
                <c:pt idx="249">
                  <c:v>7514</c:v>
                </c:pt>
                <c:pt idx="250">
                  <c:v>7515</c:v>
                </c:pt>
                <c:pt idx="251">
                  <c:v>7516</c:v>
                </c:pt>
                <c:pt idx="252">
                  <c:v>7517</c:v>
                </c:pt>
                <c:pt idx="253">
                  <c:v>7518</c:v>
                </c:pt>
                <c:pt idx="254">
                  <c:v>7519</c:v>
                </c:pt>
                <c:pt idx="255">
                  <c:v>7520</c:v>
                </c:pt>
                <c:pt idx="256">
                  <c:v>7521</c:v>
                </c:pt>
                <c:pt idx="257">
                  <c:v>7522</c:v>
                </c:pt>
                <c:pt idx="258">
                  <c:v>7523</c:v>
                </c:pt>
                <c:pt idx="259">
                  <c:v>7524</c:v>
                </c:pt>
                <c:pt idx="260">
                  <c:v>7525</c:v>
                </c:pt>
                <c:pt idx="261">
                  <c:v>7526</c:v>
                </c:pt>
                <c:pt idx="262">
                  <c:v>7527</c:v>
                </c:pt>
                <c:pt idx="263">
                  <c:v>7528</c:v>
                </c:pt>
                <c:pt idx="264">
                  <c:v>7529</c:v>
                </c:pt>
                <c:pt idx="265">
                  <c:v>7530</c:v>
                </c:pt>
                <c:pt idx="266">
                  <c:v>7531</c:v>
                </c:pt>
                <c:pt idx="267">
                  <c:v>7532</c:v>
                </c:pt>
                <c:pt idx="268">
                  <c:v>7533</c:v>
                </c:pt>
                <c:pt idx="269">
                  <c:v>7534</c:v>
                </c:pt>
                <c:pt idx="270">
                  <c:v>7535</c:v>
                </c:pt>
                <c:pt idx="271">
                  <c:v>7536</c:v>
                </c:pt>
                <c:pt idx="272">
                  <c:v>7537</c:v>
                </c:pt>
                <c:pt idx="273">
                  <c:v>7538</c:v>
                </c:pt>
                <c:pt idx="274">
                  <c:v>7539</c:v>
                </c:pt>
                <c:pt idx="275">
                  <c:v>7540</c:v>
                </c:pt>
                <c:pt idx="276">
                  <c:v>7541</c:v>
                </c:pt>
                <c:pt idx="277">
                  <c:v>7542</c:v>
                </c:pt>
                <c:pt idx="278">
                  <c:v>7543</c:v>
                </c:pt>
                <c:pt idx="279">
                  <c:v>7544</c:v>
                </c:pt>
                <c:pt idx="280">
                  <c:v>7545</c:v>
                </c:pt>
                <c:pt idx="281">
                  <c:v>7546</c:v>
                </c:pt>
                <c:pt idx="282">
                  <c:v>7547</c:v>
                </c:pt>
                <c:pt idx="283">
                  <c:v>7548</c:v>
                </c:pt>
                <c:pt idx="284">
                  <c:v>7549</c:v>
                </c:pt>
                <c:pt idx="285">
                  <c:v>7550</c:v>
                </c:pt>
                <c:pt idx="286">
                  <c:v>7551</c:v>
                </c:pt>
                <c:pt idx="287">
                  <c:v>7552</c:v>
                </c:pt>
                <c:pt idx="288">
                  <c:v>7553</c:v>
                </c:pt>
                <c:pt idx="289">
                  <c:v>7554</c:v>
                </c:pt>
                <c:pt idx="290">
                  <c:v>7555</c:v>
                </c:pt>
                <c:pt idx="291">
                  <c:v>7556</c:v>
                </c:pt>
                <c:pt idx="292">
                  <c:v>7557</c:v>
                </c:pt>
                <c:pt idx="293">
                  <c:v>7558</c:v>
                </c:pt>
                <c:pt idx="294">
                  <c:v>7559</c:v>
                </c:pt>
                <c:pt idx="295">
                  <c:v>7560</c:v>
                </c:pt>
                <c:pt idx="296">
                  <c:v>7561</c:v>
                </c:pt>
                <c:pt idx="297">
                  <c:v>7562</c:v>
                </c:pt>
                <c:pt idx="298">
                  <c:v>7563</c:v>
                </c:pt>
                <c:pt idx="299">
                  <c:v>7564</c:v>
                </c:pt>
                <c:pt idx="300">
                  <c:v>7565</c:v>
                </c:pt>
                <c:pt idx="301">
                  <c:v>7566</c:v>
                </c:pt>
                <c:pt idx="302">
                  <c:v>7567</c:v>
                </c:pt>
                <c:pt idx="303">
                  <c:v>7568</c:v>
                </c:pt>
                <c:pt idx="304">
                  <c:v>7569</c:v>
                </c:pt>
                <c:pt idx="305">
                  <c:v>7570</c:v>
                </c:pt>
                <c:pt idx="306">
                  <c:v>7571</c:v>
                </c:pt>
                <c:pt idx="307">
                  <c:v>7572</c:v>
                </c:pt>
                <c:pt idx="308">
                  <c:v>7573</c:v>
                </c:pt>
                <c:pt idx="309">
                  <c:v>7574</c:v>
                </c:pt>
                <c:pt idx="310">
                  <c:v>7575</c:v>
                </c:pt>
                <c:pt idx="311">
                  <c:v>7576</c:v>
                </c:pt>
                <c:pt idx="312">
                  <c:v>7577</c:v>
                </c:pt>
                <c:pt idx="313">
                  <c:v>7578</c:v>
                </c:pt>
                <c:pt idx="314">
                  <c:v>7579</c:v>
                </c:pt>
                <c:pt idx="315">
                  <c:v>7580</c:v>
                </c:pt>
                <c:pt idx="316">
                  <c:v>7581</c:v>
                </c:pt>
                <c:pt idx="317">
                  <c:v>7582</c:v>
                </c:pt>
                <c:pt idx="318">
                  <c:v>7583</c:v>
                </c:pt>
                <c:pt idx="319">
                  <c:v>7584</c:v>
                </c:pt>
                <c:pt idx="320">
                  <c:v>7585</c:v>
                </c:pt>
                <c:pt idx="321">
                  <c:v>7586</c:v>
                </c:pt>
                <c:pt idx="322">
                  <c:v>7587</c:v>
                </c:pt>
                <c:pt idx="323">
                  <c:v>7588</c:v>
                </c:pt>
                <c:pt idx="324">
                  <c:v>7589</c:v>
                </c:pt>
                <c:pt idx="325">
                  <c:v>7590</c:v>
                </c:pt>
                <c:pt idx="326">
                  <c:v>7591</c:v>
                </c:pt>
                <c:pt idx="327">
                  <c:v>7592</c:v>
                </c:pt>
                <c:pt idx="328">
                  <c:v>7593</c:v>
                </c:pt>
                <c:pt idx="329">
                  <c:v>7594</c:v>
                </c:pt>
                <c:pt idx="330">
                  <c:v>7595</c:v>
                </c:pt>
                <c:pt idx="331">
                  <c:v>7596</c:v>
                </c:pt>
                <c:pt idx="332">
                  <c:v>7597</c:v>
                </c:pt>
                <c:pt idx="333">
                  <c:v>7598</c:v>
                </c:pt>
                <c:pt idx="334">
                  <c:v>7599</c:v>
                </c:pt>
                <c:pt idx="335">
                  <c:v>7600</c:v>
                </c:pt>
                <c:pt idx="336">
                  <c:v>7601</c:v>
                </c:pt>
                <c:pt idx="337">
                  <c:v>7602</c:v>
                </c:pt>
                <c:pt idx="338">
                  <c:v>7603</c:v>
                </c:pt>
                <c:pt idx="339">
                  <c:v>7604</c:v>
                </c:pt>
                <c:pt idx="340">
                  <c:v>7605</c:v>
                </c:pt>
                <c:pt idx="341">
                  <c:v>7606</c:v>
                </c:pt>
                <c:pt idx="342">
                  <c:v>7607</c:v>
                </c:pt>
                <c:pt idx="343">
                  <c:v>7608</c:v>
                </c:pt>
                <c:pt idx="344">
                  <c:v>7609</c:v>
                </c:pt>
                <c:pt idx="345">
                  <c:v>7610</c:v>
                </c:pt>
              </c:numCache>
            </c:numRef>
          </c:xVal>
          <c:yVal>
            <c:numRef>
              <c:f>Sheet5!$F$4:$F$349</c:f>
              <c:numCache>
                <c:formatCode>General</c:formatCode>
                <c:ptCount val="346"/>
                <c:pt idx="0">
                  <c:v>416.07</c:v>
                </c:pt>
                <c:pt idx="1">
                  <c:v>91.93</c:v>
                </c:pt>
                <c:pt idx="2">
                  <c:v>255.73</c:v>
                </c:pt>
                <c:pt idx="3">
                  <c:v>341.12</c:v>
                </c:pt>
                <c:pt idx="4">
                  <c:v>488.17</c:v>
                </c:pt>
                <c:pt idx="5">
                  <c:v>159.28</c:v>
                </c:pt>
                <c:pt idx="6">
                  <c:v>77.01</c:v>
                </c:pt>
                <c:pt idx="7">
                  <c:v>430.84</c:v>
                </c:pt>
                <c:pt idx="8">
                  <c:v>179.51</c:v>
                </c:pt>
                <c:pt idx="9">
                  <c:v>386.66</c:v>
                </c:pt>
                <c:pt idx="10">
                  <c:v>295.13</c:v>
                </c:pt>
                <c:pt idx="11">
                  <c:v>399.09</c:v>
                </c:pt>
                <c:pt idx="12">
                  <c:v>152.33</c:v>
                </c:pt>
                <c:pt idx="13">
                  <c:v>276.32</c:v>
                </c:pt>
                <c:pt idx="14">
                  <c:v>300.81</c:v>
                </c:pt>
                <c:pt idx="15">
                  <c:v>354.32</c:v>
                </c:pt>
                <c:pt idx="16">
                  <c:v>500.55</c:v>
                </c:pt>
                <c:pt idx="17">
                  <c:v>203.91</c:v>
                </c:pt>
                <c:pt idx="18">
                  <c:v>432.61</c:v>
                </c:pt>
                <c:pt idx="19">
                  <c:v>206.38</c:v>
                </c:pt>
                <c:pt idx="20">
                  <c:v>195.63</c:v>
                </c:pt>
                <c:pt idx="21">
                  <c:v>90.89</c:v>
                </c:pt>
                <c:pt idx="22">
                  <c:v>200.3</c:v>
                </c:pt>
                <c:pt idx="23">
                  <c:v>245.92</c:v>
                </c:pt>
                <c:pt idx="24">
                  <c:v>315.35</c:v>
                </c:pt>
                <c:pt idx="25">
                  <c:v>184.18</c:v>
                </c:pt>
                <c:pt idx="26">
                  <c:v>436.6</c:v>
                </c:pt>
                <c:pt idx="27">
                  <c:v>131.87</c:v>
                </c:pt>
                <c:pt idx="28">
                  <c:v>106.68</c:v>
                </c:pt>
                <c:pt idx="29">
                  <c:v>258.72</c:v>
                </c:pt>
                <c:pt idx="30">
                  <c:v>313.76</c:v>
                </c:pt>
                <c:pt idx="31">
                  <c:v>541.61</c:v>
                </c:pt>
                <c:pt idx="32">
                  <c:v>300.76</c:v>
                </c:pt>
                <c:pt idx="33">
                  <c:v>536.67</c:v>
                </c:pt>
                <c:pt idx="34">
                  <c:v>480.94</c:v>
                </c:pt>
                <c:pt idx="35">
                  <c:v>437.08</c:v>
                </c:pt>
                <c:pt idx="36">
                  <c:v>190.6</c:v>
                </c:pt>
                <c:pt idx="37">
                  <c:v>446.77</c:v>
                </c:pt>
                <c:pt idx="38">
                  <c:v>367.07</c:v>
                </c:pt>
                <c:pt idx="39">
                  <c:v>333.42</c:v>
                </c:pt>
                <c:pt idx="40">
                  <c:v>427.54</c:v>
                </c:pt>
                <c:pt idx="41">
                  <c:v>139.38</c:v>
                </c:pt>
                <c:pt idx="42">
                  <c:v>450.71</c:v>
                </c:pt>
                <c:pt idx="43">
                  <c:v>233.14</c:v>
                </c:pt>
                <c:pt idx="44">
                  <c:v>151.31</c:v>
                </c:pt>
                <c:pt idx="45">
                  <c:v>267.58</c:v>
                </c:pt>
                <c:pt idx="46">
                  <c:v>448.95</c:v>
                </c:pt>
                <c:pt idx="47">
                  <c:v>187.49</c:v>
                </c:pt>
                <c:pt idx="48">
                  <c:v>102.9</c:v>
                </c:pt>
                <c:pt idx="49">
                  <c:v>251.59</c:v>
                </c:pt>
                <c:pt idx="50">
                  <c:v>431.08</c:v>
                </c:pt>
                <c:pt idx="51">
                  <c:v>387.72</c:v>
                </c:pt>
                <c:pt idx="52">
                  <c:v>351.41</c:v>
                </c:pt>
                <c:pt idx="53">
                  <c:v>102.71</c:v>
                </c:pt>
                <c:pt idx="54">
                  <c:v>313.18</c:v>
                </c:pt>
                <c:pt idx="55">
                  <c:v>134.26</c:v>
                </c:pt>
                <c:pt idx="56">
                  <c:v>422.09</c:v>
                </c:pt>
                <c:pt idx="57">
                  <c:v>113.76</c:v>
                </c:pt>
                <c:pt idx="58">
                  <c:v>458.18</c:v>
                </c:pt>
                <c:pt idx="59">
                  <c:v>332.15</c:v>
                </c:pt>
                <c:pt idx="60">
                  <c:v>502.9</c:v>
                </c:pt>
                <c:pt idx="61">
                  <c:v>380.78</c:v>
                </c:pt>
                <c:pt idx="62">
                  <c:v>493.44</c:v>
                </c:pt>
                <c:pt idx="63">
                  <c:v>510.08</c:v>
                </c:pt>
                <c:pt idx="64">
                  <c:v>83.24</c:v>
                </c:pt>
                <c:pt idx="65">
                  <c:v>256.89</c:v>
                </c:pt>
                <c:pt idx="66">
                  <c:v>343.45</c:v>
                </c:pt>
                <c:pt idx="67">
                  <c:v>397.37</c:v>
                </c:pt>
                <c:pt idx="68">
                  <c:v>480.43</c:v>
                </c:pt>
                <c:pt idx="69">
                  <c:v>471.84</c:v>
                </c:pt>
                <c:pt idx="70">
                  <c:v>442.3</c:v>
                </c:pt>
                <c:pt idx="71">
                  <c:v>339.03</c:v>
                </c:pt>
                <c:pt idx="72">
                  <c:v>188.38</c:v>
                </c:pt>
                <c:pt idx="73">
                  <c:v>67.53</c:v>
                </c:pt>
                <c:pt idx="74">
                  <c:v>503.24</c:v>
                </c:pt>
                <c:pt idx="75">
                  <c:v>190.84</c:v>
                </c:pt>
                <c:pt idx="76">
                  <c:v>373.68</c:v>
                </c:pt>
                <c:pt idx="77">
                  <c:v>162.25</c:v>
                </c:pt>
                <c:pt idx="78">
                  <c:v>167.8</c:v>
                </c:pt>
                <c:pt idx="79">
                  <c:v>323.56</c:v>
                </c:pt>
                <c:pt idx="80">
                  <c:v>385.39</c:v>
                </c:pt>
                <c:pt idx="81">
                  <c:v>389.39</c:v>
                </c:pt>
                <c:pt idx="82">
                  <c:v>85.12</c:v>
                </c:pt>
                <c:pt idx="83">
                  <c:v>302.58</c:v>
                </c:pt>
                <c:pt idx="84">
                  <c:v>273.44</c:v>
                </c:pt>
                <c:pt idx="85">
                  <c:v>430.34</c:v>
                </c:pt>
                <c:pt idx="86">
                  <c:v>196.41</c:v>
                </c:pt>
                <c:pt idx="87">
                  <c:v>423.77</c:v>
                </c:pt>
                <c:pt idx="88">
                  <c:v>484.28</c:v>
                </c:pt>
                <c:pt idx="89">
                  <c:v>180.29</c:v>
                </c:pt>
                <c:pt idx="90">
                  <c:v>408.41</c:v>
                </c:pt>
                <c:pt idx="91">
                  <c:v>201.79</c:v>
                </c:pt>
                <c:pt idx="92">
                  <c:v>566.35</c:v>
                </c:pt>
                <c:pt idx="93">
                  <c:v>220.78</c:v>
                </c:pt>
                <c:pt idx="94">
                  <c:v>501.4</c:v>
                </c:pt>
                <c:pt idx="95">
                  <c:v>293.41</c:v>
                </c:pt>
                <c:pt idx="96">
                  <c:v>461.19</c:v>
                </c:pt>
                <c:pt idx="97">
                  <c:v>232.12</c:v>
                </c:pt>
                <c:pt idx="98">
                  <c:v>122.5</c:v>
                </c:pt>
                <c:pt idx="99">
                  <c:v>469.92</c:v>
                </c:pt>
                <c:pt idx="100">
                  <c:v>71.34</c:v>
                </c:pt>
                <c:pt idx="101">
                  <c:v>410.19</c:v>
                </c:pt>
                <c:pt idx="102">
                  <c:v>399.13</c:v>
                </c:pt>
                <c:pt idx="103">
                  <c:v>248.96</c:v>
                </c:pt>
                <c:pt idx="104">
                  <c:v>69.91</c:v>
                </c:pt>
                <c:pt idx="105">
                  <c:v>309.49</c:v>
                </c:pt>
                <c:pt idx="106">
                  <c:v>389.22</c:v>
                </c:pt>
                <c:pt idx="107">
                  <c:v>457.5</c:v>
                </c:pt>
                <c:pt idx="108">
                  <c:v>425.44</c:v>
                </c:pt>
                <c:pt idx="109">
                  <c:v>141.66</c:v>
                </c:pt>
                <c:pt idx="110">
                  <c:v>446.54</c:v>
                </c:pt>
                <c:pt idx="111">
                  <c:v>96.24</c:v>
                </c:pt>
                <c:pt idx="112">
                  <c:v>160.1</c:v>
                </c:pt>
                <c:pt idx="113">
                  <c:v>431.65</c:v>
                </c:pt>
                <c:pt idx="114">
                  <c:v>493.13</c:v>
                </c:pt>
                <c:pt idx="115">
                  <c:v>327.06</c:v>
                </c:pt>
                <c:pt idx="116">
                  <c:v>328.38</c:v>
                </c:pt>
                <c:pt idx="117">
                  <c:v>140.37</c:v>
                </c:pt>
                <c:pt idx="118">
                  <c:v>451.41</c:v>
                </c:pt>
                <c:pt idx="119">
                  <c:v>353.02</c:v>
                </c:pt>
                <c:pt idx="120">
                  <c:v>411.32</c:v>
                </c:pt>
                <c:pt idx="121">
                  <c:v>159.06</c:v>
                </c:pt>
                <c:pt idx="122">
                  <c:v>198.66</c:v>
                </c:pt>
                <c:pt idx="123">
                  <c:v>285.47</c:v>
                </c:pt>
                <c:pt idx="124">
                  <c:v>116.92</c:v>
                </c:pt>
                <c:pt idx="125">
                  <c:v>396.6</c:v>
                </c:pt>
                <c:pt idx="126">
                  <c:v>204.83</c:v>
                </c:pt>
                <c:pt idx="127">
                  <c:v>354.43</c:v>
                </c:pt>
                <c:pt idx="128">
                  <c:v>213.62</c:v>
                </c:pt>
                <c:pt idx="129">
                  <c:v>246.49</c:v>
                </c:pt>
                <c:pt idx="130">
                  <c:v>323.95</c:v>
                </c:pt>
                <c:pt idx="131">
                  <c:v>140.23</c:v>
                </c:pt>
                <c:pt idx="132">
                  <c:v>348.5</c:v>
                </c:pt>
                <c:pt idx="133">
                  <c:v>432.04</c:v>
                </c:pt>
                <c:pt idx="134">
                  <c:v>143.52</c:v>
                </c:pt>
                <c:pt idx="135">
                  <c:v>371.92</c:v>
                </c:pt>
                <c:pt idx="136">
                  <c:v>325.84</c:v>
                </c:pt>
                <c:pt idx="137">
                  <c:v>461.85</c:v>
                </c:pt>
                <c:pt idx="138">
                  <c:v>489.76</c:v>
                </c:pt>
                <c:pt idx="139">
                  <c:v>383.87</c:v>
                </c:pt>
                <c:pt idx="140">
                  <c:v>315.1</c:v>
                </c:pt>
                <c:pt idx="141">
                  <c:v>276.85</c:v>
                </c:pt>
                <c:pt idx="142">
                  <c:v>274.87</c:v>
                </c:pt>
                <c:pt idx="143">
                  <c:v>91.44</c:v>
                </c:pt>
                <c:pt idx="144">
                  <c:v>135.84</c:v>
                </c:pt>
                <c:pt idx="145">
                  <c:v>458.34</c:v>
                </c:pt>
                <c:pt idx="146">
                  <c:v>114.66</c:v>
                </c:pt>
                <c:pt idx="147">
                  <c:v>259.34</c:v>
                </c:pt>
                <c:pt idx="148">
                  <c:v>257.38</c:v>
                </c:pt>
                <c:pt idx="149">
                  <c:v>321.19</c:v>
                </c:pt>
                <c:pt idx="150">
                  <c:v>110.74</c:v>
                </c:pt>
                <c:pt idx="151">
                  <c:v>353.01</c:v>
                </c:pt>
                <c:pt idx="152">
                  <c:v>145.03</c:v>
                </c:pt>
                <c:pt idx="153">
                  <c:v>233.62</c:v>
                </c:pt>
                <c:pt idx="154">
                  <c:v>453.31</c:v>
                </c:pt>
                <c:pt idx="155">
                  <c:v>440.11</c:v>
                </c:pt>
                <c:pt idx="156">
                  <c:v>138.39</c:v>
                </c:pt>
                <c:pt idx="157">
                  <c:v>302.19</c:v>
                </c:pt>
                <c:pt idx="158">
                  <c:v>138.96</c:v>
                </c:pt>
                <c:pt idx="159">
                  <c:v>309.6</c:v>
                </c:pt>
                <c:pt idx="160">
                  <c:v>33.97</c:v>
                </c:pt>
                <c:pt idx="161">
                  <c:v>468.13</c:v>
                </c:pt>
                <c:pt idx="162">
                  <c:v>347.01</c:v>
                </c:pt>
                <c:pt idx="163">
                  <c:v>399.31</c:v>
                </c:pt>
                <c:pt idx="164">
                  <c:v>383.28</c:v>
                </c:pt>
                <c:pt idx="165">
                  <c:v>318.39</c:v>
                </c:pt>
                <c:pt idx="166">
                  <c:v>362.95</c:v>
                </c:pt>
                <c:pt idx="167">
                  <c:v>130.24</c:v>
                </c:pt>
                <c:pt idx="168">
                  <c:v>352.46</c:v>
                </c:pt>
                <c:pt idx="169">
                  <c:v>377.05</c:v>
                </c:pt>
                <c:pt idx="170">
                  <c:v>257.68</c:v>
                </c:pt>
                <c:pt idx="171">
                  <c:v>244.47</c:v>
                </c:pt>
                <c:pt idx="172">
                  <c:v>77.64</c:v>
                </c:pt>
                <c:pt idx="173">
                  <c:v>339.92</c:v>
                </c:pt>
                <c:pt idx="174">
                  <c:v>524.74</c:v>
                </c:pt>
                <c:pt idx="175">
                  <c:v>275.9</c:v>
                </c:pt>
                <c:pt idx="176">
                  <c:v>133.28</c:v>
                </c:pt>
                <c:pt idx="177">
                  <c:v>472.62</c:v>
                </c:pt>
                <c:pt idx="178">
                  <c:v>218.74</c:v>
                </c:pt>
                <c:pt idx="179">
                  <c:v>450.16</c:v>
                </c:pt>
                <c:pt idx="180">
                  <c:v>64.3</c:v>
                </c:pt>
                <c:pt idx="181">
                  <c:v>441.73</c:v>
                </c:pt>
                <c:pt idx="182">
                  <c:v>166.79</c:v>
                </c:pt>
                <c:pt idx="183">
                  <c:v>363.36</c:v>
                </c:pt>
                <c:pt idx="184">
                  <c:v>493.88</c:v>
                </c:pt>
                <c:pt idx="185">
                  <c:v>298.57</c:v>
                </c:pt>
                <c:pt idx="186">
                  <c:v>168.18</c:v>
                </c:pt>
                <c:pt idx="187">
                  <c:v>116.09</c:v>
                </c:pt>
                <c:pt idx="188">
                  <c:v>226.87</c:v>
                </c:pt>
                <c:pt idx="189">
                  <c:v>457.48</c:v>
                </c:pt>
                <c:pt idx="190">
                  <c:v>417.17</c:v>
                </c:pt>
                <c:pt idx="191">
                  <c:v>179.37</c:v>
                </c:pt>
                <c:pt idx="192">
                  <c:v>498.1</c:v>
                </c:pt>
                <c:pt idx="193">
                  <c:v>252.1</c:v>
                </c:pt>
                <c:pt idx="194">
                  <c:v>151.12</c:v>
                </c:pt>
                <c:pt idx="195">
                  <c:v>153.83</c:v>
                </c:pt>
                <c:pt idx="196">
                  <c:v>491.13</c:v>
                </c:pt>
                <c:pt idx="197">
                  <c:v>214.28</c:v>
                </c:pt>
                <c:pt idx="198">
                  <c:v>199.87</c:v>
                </c:pt>
                <c:pt idx="199">
                  <c:v>359.75</c:v>
                </c:pt>
                <c:pt idx="200">
                  <c:v>402.59</c:v>
                </c:pt>
                <c:pt idx="201">
                  <c:v>179.91</c:v>
                </c:pt>
                <c:pt idx="202">
                  <c:v>306.35</c:v>
                </c:pt>
                <c:pt idx="203">
                  <c:v>137.31</c:v>
                </c:pt>
                <c:pt idx="204">
                  <c:v>472.26</c:v>
                </c:pt>
                <c:pt idx="205">
                  <c:v>451.52</c:v>
                </c:pt>
                <c:pt idx="206">
                  <c:v>399</c:v>
                </c:pt>
                <c:pt idx="207">
                  <c:v>355.5</c:v>
                </c:pt>
                <c:pt idx="208">
                  <c:v>244.46</c:v>
                </c:pt>
                <c:pt idx="209">
                  <c:v>97.8</c:v>
                </c:pt>
                <c:pt idx="210">
                  <c:v>381.05</c:v>
                </c:pt>
                <c:pt idx="211">
                  <c:v>465.57</c:v>
                </c:pt>
                <c:pt idx="212">
                  <c:v>204.78</c:v>
                </c:pt>
                <c:pt idx="213">
                  <c:v>335.52</c:v>
                </c:pt>
                <c:pt idx="214">
                  <c:v>272.53</c:v>
                </c:pt>
                <c:pt idx="215">
                  <c:v>182.71</c:v>
                </c:pt>
                <c:pt idx="216">
                  <c:v>414.14</c:v>
                </c:pt>
                <c:pt idx="217">
                  <c:v>460.9</c:v>
                </c:pt>
                <c:pt idx="218">
                  <c:v>257.19</c:v>
                </c:pt>
                <c:pt idx="219">
                  <c:v>213.33</c:v>
                </c:pt>
                <c:pt idx="220">
                  <c:v>155.84</c:v>
                </c:pt>
                <c:pt idx="221">
                  <c:v>336.27</c:v>
                </c:pt>
                <c:pt idx="222">
                  <c:v>372.08</c:v>
                </c:pt>
                <c:pt idx="223">
                  <c:v>357.01</c:v>
                </c:pt>
                <c:pt idx="224">
                  <c:v>134.34</c:v>
                </c:pt>
                <c:pt idx="225">
                  <c:v>319.74</c:v>
                </c:pt>
                <c:pt idx="226">
                  <c:v>218.3</c:v>
                </c:pt>
                <c:pt idx="227">
                  <c:v>464.17</c:v>
                </c:pt>
                <c:pt idx="228">
                  <c:v>185.79</c:v>
                </c:pt>
                <c:pt idx="229">
                  <c:v>340.98</c:v>
                </c:pt>
                <c:pt idx="230">
                  <c:v>68.4</c:v>
                </c:pt>
                <c:pt idx="231">
                  <c:v>206.39</c:v>
                </c:pt>
                <c:pt idx="232">
                  <c:v>205.65</c:v>
                </c:pt>
                <c:pt idx="233">
                  <c:v>337.7</c:v>
                </c:pt>
                <c:pt idx="234">
                  <c:v>273.05</c:v>
                </c:pt>
                <c:pt idx="235">
                  <c:v>244.51</c:v>
                </c:pt>
                <c:pt idx="236">
                  <c:v>95.15</c:v>
                </c:pt>
                <c:pt idx="237">
                  <c:v>496.88</c:v>
                </c:pt>
                <c:pt idx="238">
                  <c:v>382.92</c:v>
                </c:pt>
                <c:pt idx="239">
                  <c:v>425.76</c:v>
                </c:pt>
                <c:pt idx="240">
                  <c:v>317.84</c:v>
                </c:pt>
                <c:pt idx="241">
                  <c:v>318.12</c:v>
                </c:pt>
                <c:pt idx="242">
                  <c:v>245.08</c:v>
                </c:pt>
                <c:pt idx="243">
                  <c:v>369.48</c:v>
                </c:pt>
                <c:pt idx="244">
                  <c:v>133.87</c:v>
                </c:pt>
                <c:pt idx="245">
                  <c:v>270.95</c:v>
                </c:pt>
                <c:pt idx="246">
                  <c:v>329.15</c:v>
                </c:pt>
                <c:pt idx="247">
                  <c:v>288.56</c:v>
                </c:pt>
                <c:pt idx="248">
                  <c:v>464.84</c:v>
                </c:pt>
                <c:pt idx="249">
                  <c:v>247.66</c:v>
                </c:pt>
                <c:pt idx="250">
                  <c:v>117.7</c:v>
                </c:pt>
                <c:pt idx="251">
                  <c:v>393.99</c:v>
                </c:pt>
                <c:pt idx="252">
                  <c:v>119.58</c:v>
                </c:pt>
                <c:pt idx="253">
                  <c:v>227.11</c:v>
                </c:pt>
                <c:pt idx="254">
                  <c:v>447.96</c:v>
                </c:pt>
                <c:pt idx="255">
                  <c:v>358.79</c:v>
                </c:pt>
                <c:pt idx="256">
                  <c:v>203.03</c:v>
                </c:pt>
                <c:pt idx="257">
                  <c:v>77.55</c:v>
                </c:pt>
                <c:pt idx="258">
                  <c:v>281.11</c:v>
                </c:pt>
                <c:pt idx="259">
                  <c:v>370.08</c:v>
                </c:pt>
                <c:pt idx="260">
                  <c:v>356.61</c:v>
                </c:pt>
                <c:pt idx="261">
                  <c:v>432.01</c:v>
                </c:pt>
                <c:pt idx="262">
                  <c:v>410.26</c:v>
                </c:pt>
                <c:pt idx="263">
                  <c:v>313.82</c:v>
                </c:pt>
                <c:pt idx="264">
                  <c:v>460.27</c:v>
                </c:pt>
                <c:pt idx="265">
                  <c:v>468.16</c:v>
                </c:pt>
                <c:pt idx="266">
                  <c:v>428.3</c:v>
                </c:pt>
                <c:pt idx="267">
                  <c:v>158.61</c:v>
                </c:pt>
                <c:pt idx="268">
                  <c:v>90.04</c:v>
                </c:pt>
                <c:pt idx="269">
                  <c:v>251.43</c:v>
                </c:pt>
                <c:pt idx="270">
                  <c:v>120.78</c:v>
                </c:pt>
                <c:pt idx="271">
                  <c:v>150.07</c:v>
                </c:pt>
                <c:pt idx="272">
                  <c:v>256.72</c:v>
                </c:pt>
                <c:pt idx="273">
                  <c:v>126.54</c:v>
                </c:pt>
                <c:pt idx="274">
                  <c:v>102.28</c:v>
                </c:pt>
                <c:pt idx="275">
                  <c:v>246.58</c:v>
                </c:pt>
                <c:pt idx="276">
                  <c:v>140.27</c:v>
                </c:pt>
                <c:pt idx="277">
                  <c:v>341.67</c:v>
                </c:pt>
                <c:pt idx="278">
                  <c:v>101.68</c:v>
                </c:pt>
                <c:pt idx="279">
                  <c:v>114.11</c:v>
                </c:pt>
                <c:pt idx="280">
                  <c:v>207.01</c:v>
                </c:pt>
                <c:pt idx="281">
                  <c:v>367.1</c:v>
                </c:pt>
                <c:pt idx="282">
                  <c:v>117.3</c:v>
                </c:pt>
                <c:pt idx="283">
                  <c:v>181.81</c:v>
                </c:pt>
                <c:pt idx="284">
                  <c:v>243.47</c:v>
                </c:pt>
                <c:pt idx="285">
                  <c:v>477.67</c:v>
                </c:pt>
                <c:pt idx="286">
                  <c:v>147.29</c:v>
                </c:pt>
                <c:pt idx="287">
                  <c:v>334.88</c:v>
                </c:pt>
                <c:pt idx="288">
                  <c:v>395.64</c:v>
                </c:pt>
                <c:pt idx="289">
                  <c:v>96.88</c:v>
                </c:pt>
                <c:pt idx="290">
                  <c:v>324.02</c:v>
                </c:pt>
                <c:pt idx="291">
                  <c:v>199.14</c:v>
                </c:pt>
                <c:pt idx="292">
                  <c:v>130.95</c:v>
                </c:pt>
                <c:pt idx="293">
                  <c:v>291.54</c:v>
                </c:pt>
                <c:pt idx="294">
                  <c:v>470.01</c:v>
                </c:pt>
                <c:pt idx="295">
                  <c:v>305.22</c:v>
                </c:pt>
                <c:pt idx="296">
                  <c:v>105.72</c:v>
                </c:pt>
                <c:pt idx="297">
                  <c:v>233.18</c:v>
                </c:pt>
                <c:pt idx="298">
                  <c:v>460.21</c:v>
                </c:pt>
                <c:pt idx="299">
                  <c:v>2.19</c:v>
                </c:pt>
                <c:pt idx="300">
                  <c:v>178.23</c:v>
                </c:pt>
                <c:pt idx="301">
                  <c:v>140.24</c:v>
                </c:pt>
                <c:pt idx="302">
                  <c:v>439.27</c:v>
                </c:pt>
                <c:pt idx="303">
                  <c:v>465.08</c:v>
                </c:pt>
                <c:pt idx="304">
                  <c:v>459.83</c:v>
                </c:pt>
                <c:pt idx="305">
                  <c:v>439.89</c:v>
                </c:pt>
                <c:pt idx="306">
                  <c:v>359.96</c:v>
                </c:pt>
                <c:pt idx="307">
                  <c:v>317.57</c:v>
                </c:pt>
                <c:pt idx="308">
                  <c:v>224.78</c:v>
                </c:pt>
                <c:pt idx="309">
                  <c:v>110.36</c:v>
                </c:pt>
                <c:pt idx="310">
                  <c:v>365.54</c:v>
                </c:pt>
                <c:pt idx="311">
                  <c:v>181.12</c:v>
                </c:pt>
                <c:pt idx="312">
                  <c:v>494.73</c:v>
                </c:pt>
                <c:pt idx="313">
                  <c:v>402.03</c:v>
                </c:pt>
                <c:pt idx="314">
                  <c:v>340.06</c:v>
                </c:pt>
                <c:pt idx="315">
                  <c:v>190.66</c:v>
                </c:pt>
                <c:pt idx="316">
                  <c:v>465.16</c:v>
                </c:pt>
                <c:pt idx="317">
                  <c:v>258.41</c:v>
                </c:pt>
                <c:pt idx="318">
                  <c:v>192.26</c:v>
                </c:pt>
                <c:pt idx="319">
                  <c:v>370.04</c:v>
                </c:pt>
                <c:pt idx="320">
                  <c:v>489.64</c:v>
                </c:pt>
                <c:pt idx="321">
                  <c:v>311.4</c:v>
                </c:pt>
                <c:pt idx="322">
                  <c:v>340.01</c:v>
                </c:pt>
                <c:pt idx="323">
                  <c:v>348.49</c:v>
                </c:pt>
                <c:pt idx="324">
                  <c:v>337.42</c:v>
                </c:pt>
                <c:pt idx="325">
                  <c:v>103.76</c:v>
                </c:pt>
                <c:pt idx="326">
                  <c:v>308.72</c:v>
                </c:pt>
                <c:pt idx="327">
                  <c:v>203</c:v>
                </c:pt>
                <c:pt idx="328">
                  <c:v>112.43</c:v>
                </c:pt>
                <c:pt idx="329">
                  <c:v>121.43</c:v>
                </c:pt>
                <c:pt idx="330">
                  <c:v>379.95</c:v>
                </c:pt>
                <c:pt idx="331">
                  <c:v>362.48</c:v>
                </c:pt>
                <c:pt idx="332">
                  <c:v>470.74</c:v>
                </c:pt>
                <c:pt idx="333">
                  <c:v>305.26</c:v>
                </c:pt>
                <c:pt idx="334">
                  <c:v>241.35</c:v>
                </c:pt>
                <c:pt idx="335">
                  <c:v>213.14</c:v>
                </c:pt>
                <c:pt idx="336">
                  <c:v>237.07</c:v>
                </c:pt>
                <c:pt idx="337">
                  <c:v>359.41</c:v>
                </c:pt>
                <c:pt idx="338">
                  <c:v>225.18</c:v>
                </c:pt>
                <c:pt idx="339">
                  <c:v>88.21</c:v>
                </c:pt>
                <c:pt idx="340">
                  <c:v>325.42</c:v>
                </c:pt>
                <c:pt idx="341">
                  <c:v>334.97</c:v>
                </c:pt>
                <c:pt idx="342">
                  <c:v>298.36</c:v>
                </c:pt>
                <c:pt idx="343">
                  <c:v>95.44</c:v>
                </c:pt>
                <c:pt idx="344">
                  <c:v>401.9</c:v>
                </c:pt>
                <c:pt idx="345">
                  <c:v>278.63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597774"/>
        <c:axId val="565231809"/>
      </c:scatterChart>
      <c:valAx>
        <c:axId val="30859777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5231809"/>
        <c:crosses val="autoZero"/>
        <c:crossBetween val="midCat"/>
      </c:valAx>
      <c:valAx>
        <c:axId val="56523180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5977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2d97a9-e15f-4ee0-ba64-89be41207d90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price vs sales relationship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444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Sheet5!$E$4:$E$349</c:f>
              <c:numCache>
                <c:formatCode>General</c:formatCode>
                <c:ptCount val="346"/>
                <c:pt idx="0">
                  <c:v>11.64</c:v>
                </c:pt>
                <c:pt idx="1">
                  <c:v>25.95</c:v>
                </c:pt>
                <c:pt idx="2">
                  <c:v>27.34</c:v>
                </c:pt>
                <c:pt idx="3">
                  <c:v>39.76</c:v>
                </c:pt>
                <c:pt idx="4">
                  <c:v>20.03</c:v>
                </c:pt>
                <c:pt idx="5">
                  <c:v>17.37</c:v>
                </c:pt>
                <c:pt idx="6">
                  <c:v>13.23</c:v>
                </c:pt>
                <c:pt idx="7">
                  <c:v>27.13</c:v>
                </c:pt>
                <c:pt idx="8">
                  <c:v>37.54</c:v>
                </c:pt>
                <c:pt idx="9">
                  <c:v>12.33</c:v>
                </c:pt>
                <c:pt idx="10">
                  <c:v>46.61</c:v>
                </c:pt>
                <c:pt idx="11">
                  <c:v>27.69</c:v>
                </c:pt>
                <c:pt idx="12">
                  <c:v>19.59</c:v>
                </c:pt>
                <c:pt idx="13">
                  <c:v>13.75</c:v>
                </c:pt>
                <c:pt idx="14">
                  <c:v>17.31</c:v>
                </c:pt>
                <c:pt idx="15">
                  <c:v>47.38</c:v>
                </c:pt>
                <c:pt idx="16">
                  <c:v>35.53</c:v>
                </c:pt>
                <c:pt idx="17">
                  <c:v>30.67</c:v>
                </c:pt>
                <c:pt idx="18">
                  <c:v>36.28</c:v>
                </c:pt>
                <c:pt idx="19">
                  <c:v>27.43</c:v>
                </c:pt>
                <c:pt idx="20">
                  <c:v>39.2</c:v>
                </c:pt>
                <c:pt idx="21">
                  <c:v>11.91</c:v>
                </c:pt>
                <c:pt idx="22">
                  <c:v>32.64</c:v>
                </c:pt>
                <c:pt idx="23">
                  <c:v>16.35</c:v>
                </c:pt>
                <c:pt idx="24">
                  <c:v>14.81</c:v>
                </c:pt>
                <c:pt idx="25">
                  <c:v>23.68</c:v>
                </c:pt>
                <c:pt idx="26">
                  <c:v>13.67</c:v>
                </c:pt>
                <c:pt idx="27">
                  <c:v>13.77</c:v>
                </c:pt>
                <c:pt idx="28">
                  <c:v>22.46</c:v>
                </c:pt>
                <c:pt idx="29">
                  <c:v>49.18</c:v>
                </c:pt>
                <c:pt idx="30">
                  <c:v>17.01</c:v>
                </c:pt>
                <c:pt idx="31">
                  <c:v>10.69</c:v>
                </c:pt>
                <c:pt idx="32">
                  <c:v>40.53</c:v>
                </c:pt>
                <c:pt idx="33">
                  <c:v>42.28</c:v>
                </c:pt>
                <c:pt idx="34">
                  <c:v>23.85</c:v>
                </c:pt>
                <c:pt idx="35">
                  <c:v>28.59</c:v>
                </c:pt>
                <c:pt idx="36">
                  <c:v>35.99</c:v>
                </c:pt>
                <c:pt idx="37">
                  <c:v>11.92</c:v>
                </c:pt>
                <c:pt idx="38">
                  <c:v>47.97</c:v>
                </c:pt>
                <c:pt idx="39">
                  <c:v>45.47</c:v>
                </c:pt>
                <c:pt idx="40">
                  <c:v>20.44</c:v>
                </c:pt>
                <c:pt idx="41">
                  <c:v>10.61</c:v>
                </c:pt>
                <c:pt idx="42">
                  <c:v>47.34</c:v>
                </c:pt>
                <c:pt idx="43">
                  <c:v>30.04</c:v>
                </c:pt>
                <c:pt idx="44">
                  <c:v>31.58</c:v>
                </c:pt>
                <c:pt idx="45">
                  <c:v>37.36</c:v>
                </c:pt>
                <c:pt idx="46">
                  <c:v>34.63</c:v>
                </c:pt>
                <c:pt idx="47">
                  <c:v>47.76</c:v>
                </c:pt>
                <c:pt idx="48">
                  <c:v>47.77</c:v>
                </c:pt>
                <c:pt idx="49">
                  <c:v>44.69</c:v>
                </c:pt>
                <c:pt idx="50">
                  <c:v>35.46</c:v>
                </c:pt>
                <c:pt idx="51">
                  <c:v>42.04</c:v>
                </c:pt>
                <c:pt idx="52">
                  <c:v>37.09</c:v>
                </c:pt>
                <c:pt idx="53">
                  <c:v>32.93</c:v>
                </c:pt>
                <c:pt idx="54">
                  <c:v>15.14</c:v>
                </c:pt>
                <c:pt idx="55">
                  <c:v>42.45</c:v>
                </c:pt>
                <c:pt idx="56">
                  <c:v>42.83</c:v>
                </c:pt>
                <c:pt idx="57">
                  <c:v>35.04</c:v>
                </c:pt>
                <c:pt idx="58">
                  <c:v>42.82</c:v>
                </c:pt>
                <c:pt idx="59">
                  <c:v>36.06</c:v>
                </c:pt>
                <c:pt idx="60">
                  <c:v>18.27</c:v>
                </c:pt>
                <c:pt idx="61">
                  <c:v>20.96</c:v>
                </c:pt>
                <c:pt idx="62">
                  <c:v>18.58</c:v>
                </c:pt>
                <c:pt idx="63">
                  <c:v>25.09</c:v>
                </c:pt>
                <c:pt idx="64">
                  <c:v>11.56</c:v>
                </c:pt>
                <c:pt idx="65">
                  <c:v>34.73</c:v>
                </c:pt>
                <c:pt idx="66">
                  <c:v>23.46</c:v>
                </c:pt>
                <c:pt idx="67">
                  <c:v>36.23</c:v>
                </c:pt>
                <c:pt idx="68">
                  <c:v>25.42</c:v>
                </c:pt>
                <c:pt idx="69">
                  <c:v>37.26</c:v>
                </c:pt>
                <c:pt idx="70">
                  <c:v>23.62</c:v>
                </c:pt>
                <c:pt idx="71">
                  <c:v>20.43</c:v>
                </c:pt>
                <c:pt idx="72">
                  <c:v>29.84</c:v>
                </c:pt>
                <c:pt idx="73">
                  <c:v>37.72</c:v>
                </c:pt>
                <c:pt idx="74">
                  <c:v>23.93</c:v>
                </c:pt>
                <c:pt idx="75">
                  <c:v>47.47</c:v>
                </c:pt>
                <c:pt idx="76">
                  <c:v>11.57</c:v>
                </c:pt>
                <c:pt idx="77">
                  <c:v>26.72</c:v>
                </c:pt>
                <c:pt idx="78">
                  <c:v>48.7</c:v>
                </c:pt>
                <c:pt idx="79">
                  <c:v>31.92</c:v>
                </c:pt>
                <c:pt idx="80">
                  <c:v>26.94</c:v>
                </c:pt>
                <c:pt idx="81">
                  <c:v>32.74</c:v>
                </c:pt>
                <c:pt idx="82">
                  <c:v>33.04</c:v>
                </c:pt>
                <c:pt idx="83">
                  <c:v>39.27</c:v>
                </c:pt>
                <c:pt idx="84">
                  <c:v>15.11</c:v>
                </c:pt>
                <c:pt idx="85">
                  <c:v>20</c:v>
                </c:pt>
                <c:pt idx="86">
                  <c:v>33.22</c:v>
                </c:pt>
                <c:pt idx="87">
                  <c:v>44.68</c:v>
                </c:pt>
                <c:pt idx="88">
                  <c:v>32.47</c:v>
                </c:pt>
                <c:pt idx="89">
                  <c:v>19.54</c:v>
                </c:pt>
                <c:pt idx="90">
                  <c:v>37.19</c:v>
                </c:pt>
                <c:pt idx="91">
                  <c:v>39.6</c:v>
                </c:pt>
                <c:pt idx="92">
                  <c:v>19.53</c:v>
                </c:pt>
                <c:pt idx="93">
                  <c:v>25.11</c:v>
                </c:pt>
                <c:pt idx="94">
                  <c:v>31.37</c:v>
                </c:pt>
                <c:pt idx="95">
                  <c:v>29.86</c:v>
                </c:pt>
                <c:pt idx="96">
                  <c:v>25.58</c:v>
                </c:pt>
                <c:pt idx="97">
                  <c:v>21.91</c:v>
                </c:pt>
                <c:pt idx="98">
                  <c:v>14</c:v>
                </c:pt>
                <c:pt idx="99">
                  <c:v>12.14</c:v>
                </c:pt>
                <c:pt idx="100">
                  <c:v>48.34</c:v>
                </c:pt>
                <c:pt idx="101">
                  <c:v>43.89</c:v>
                </c:pt>
                <c:pt idx="102">
                  <c:v>24.2</c:v>
                </c:pt>
                <c:pt idx="103">
                  <c:v>48.27</c:v>
                </c:pt>
                <c:pt idx="104">
                  <c:v>37.07</c:v>
                </c:pt>
                <c:pt idx="105">
                  <c:v>29.3</c:v>
                </c:pt>
                <c:pt idx="106">
                  <c:v>29.72</c:v>
                </c:pt>
                <c:pt idx="107">
                  <c:v>13.33</c:v>
                </c:pt>
                <c:pt idx="108">
                  <c:v>13.67</c:v>
                </c:pt>
                <c:pt idx="109">
                  <c:v>34.1</c:v>
                </c:pt>
                <c:pt idx="110">
                  <c:v>32.15</c:v>
                </c:pt>
                <c:pt idx="111">
                  <c:v>18.51</c:v>
                </c:pt>
                <c:pt idx="112">
                  <c:v>47.85</c:v>
                </c:pt>
                <c:pt idx="113">
                  <c:v>41.25</c:v>
                </c:pt>
                <c:pt idx="114">
                  <c:v>14.54</c:v>
                </c:pt>
                <c:pt idx="115">
                  <c:v>47.24</c:v>
                </c:pt>
                <c:pt idx="116">
                  <c:v>48.97</c:v>
                </c:pt>
                <c:pt idx="117">
                  <c:v>49.84</c:v>
                </c:pt>
                <c:pt idx="118">
                  <c:v>12.23</c:v>
                </c:pt>
                <c:pt idx="119">
                  <c:v>39.48</c:v>
                </c:pt>
                <c:pt idx="120">
                  <c:v>31.84</c:v>
                </c:pt>
                <c:pt idx="121">
                  <c:v>38.23</c:v>
                </c:pt>
                <c:pt idx="122">
                  <c:v>48.75</c:v>
                </c:pt>
                <c:pt idx="123">
                  <c:v>37.52</c:v>
                </c:pt>
                <c:pt idx="124">
                  <c:v>43.48</c:v>
                </c:pt>
                <c:pt idx="125">
                  <c:v>44.67</c:v>
                </c:pt>
                <c:pt idx="126">
                  <c:v>43.54</c:v>
                </c:pt>
                <c:pt idx="127">
                  <c:v>27.04</c:v>
                </c:pt>
                <c:pt idx="128">
                  <c:v>18.9</c:v>
                </c:pt>
                <c:pt idx="129">
                  <c:v>25.87</c:v>
                </c:pt>
                <c:pt idx="130">
                  <c:v>45.68</c:v>
                </c:pt>
                <c:pt idx="131">
                  <c:v>15.86</c:v>
                </c:pt>
                <c:pt idx="132">
                  <c:v>30.53</c:v>
                </c:pt>
                <c:pt idx="133">
                  <c:v>19.33</c:v>
                </c:pt>
                <c:pt idx="134">
                  <c:v>33.25</c:v>
                </c:pt>
                <c:pt idx="135">
                  <c:v>44.53</c:v>
                </c:pt>
                <c:pt idx="136">
                  <c:v>45.21</c:v>
                </c:pt>
                <c:pt idx="137">
                  <c:v>19.47</c:v>
                </c:pt>
                <c:pt idx="138">
                  <c:v>46.31</c:v>
                </c:pt>
                <c:pt idx="139">
                  <c:v>33.68</c:v>
                </c:pt>
                <c:pt idx="140">
                  <c:v>24.01</c:v>
                </c:pt>
                <c:pt idx="141">
                  <c:v>38.33</c:v>
                </c:pt>
                <c:pt idx="142">
                  <c:v>29.27</c:v>
                </c:pt>
                <c:pt idx="143">
                  <c:v>25.12</c:v>
                </c:pt>
                <c:pt idx="144">
                  <c:v>38.2</c:v>
                </c:pt>
                <c:pt idx="145">
                  <c:v>19.95</c:v>
                </c:pt>
                <c:pt idx="146">
                  <c:v>23.21</c:v>
                </c:pt>
                <c:pt idx="147">
                  <c:v>27.38</c:v>
                </c:pt>
                <c:pt idx="148">
                  <c:v>20.15</c:v>
                </c:pt>
                <c:pt idx="149">
                  <c:v>26.21</c:v>
                </c:pt>
                <c:pt idx="150">
                  <c:v>32.86</c:v>
                </c:pt>
                <c:pt idx="151">
                  <c:v>39.64</c:v>
                </c:pt>
                <c:pt idx="152">
                  <c:v>40.69</c:v>
                </c:pt>
                <c:pt idx="153">
                  <c:v>42.91</c:v>
                </c:pt>
                <c:pt idx="154">
                  <c:v>39.77</c:v>
                </c:pt>
                <c:pt idx="155">
                  <c:v>37.24</c:v>
                </c:pt>
                <c:pt idx="156">
                  <c:v>19.5</c:v>
                </c:pt>
                <c:pt idx="157">
                  <c:v>26.01</c:v>
                </c:pt>
                <c:pt idx="158">
                  <c:v>29.11</c:v>
                </c:pt>
                <c:pt idx="159">
                  <c:v>13.32</c:v>
                </c:pt>
                <c:pt idx="160">
                  <c:v>31.13</c:v>
                </c:pt>
                <c:pt idx="161">
                  <c:v>27.45</c:v>
                </c:pt>
                <c:pt idx="162">
                  <c:v>42.08</c:v>
                </c:pt>
                <c:pt idx="163">
                  <c:v>49.12</c:v>
                </c:pt>
                <c:pt idx="164">
                  <c:v>32.24</c:v>
                </c:pt>
                <c:pt idx="165">
                  <c:v>22.91</c:v>
                </c:pt>
                <c:pt idx="166">
                  <c:v>11.74</c:v>
                </c:pt>
                <c:pt idx="167">
                  <c:v>46.99</c:v>
                </c:pt>
                <c:pt idx="168">
                  <c:v>46.76</c:v>
                </c:pt>
                <c:pt idx="169">
                  <c:v>20.12</c:v>
                </c:pt>
                <c:pt idx="170">
                  <c:v>37.82</c:v>
                </c:pt>
                <c:pt idx="171">
                  <c:v>13.02</c:v>
                </c:pt>
                <c:pt idx="172">
                  <c:v>16.65</c:v>
                </c:pt>
                <c:pt idx="173">
                  <c:v>18.67</c:v>
                </c:pt>
                <c:pt idx="174">
                  <c:v>21.78</c:v>
                </c:pt>
                <c:pt idx="175">
                  <c:v>49.83</c:v>
                </c:pt>
                <c:pt idx="176">
                  <c:v>37.88</c:v>
                </c:pt>
                <c:pt idx="177">
                  <c:v>25.37</c:v>
                </c:pt>
                <c:pt idx="178">
                  <c:v>39.48</c:v>
                </c:pt>
                <c:pt idx="179">
                  <c:v>46.61</c:v>
                </c:pt>
                <c:pt idx="180">
                  <c:v>48.35</c:v>
                </c:pt>
                <c:pt idx="181">
                  <c:v>12.31</c:v>
                </c:pt>
                <c:pt idx="182">
                  <c:v>25.78</c:v>
                </c:pt>
                <c:pt idx="183">
                  <c:v>14.27</c:v>
                </c:pt>
                <c:pt idx="184">
                  <c:v>23.43</c:v>
                </c:pt>
                <c:pt idx="185">
                  <c:v>16.79</c:v>
                </c:pt>
                <c:pt idx="186">
                  <c:v>35.87</c:v>
                </c:pt>
                <c:pt idx="187">
                  <c:v>25.53</c:v>
                </c:pt>
                <c:pt idx="188">
                  <c:v>19.18</c:v>
                </c:pt>
                <c:pt idx="189">
                  <c:v>20.64</c:v>
                </c:pt>
                <c:pt idx="190">
                  <c:v>24.41</c:v>
                </c:pt>
                <c:pt idx="191">
                  <c:v>20.4</c:v>
                </c:pt>
                <c:pt idx="192">
                  <c:v>28.13</c:v>
                </c:pt>
                <c:pt idx="193">
                  <c:v>11.29</c:v>
                </c:pt>
                <c:pt idx="194">
                  <c:v>21.19</c:v>
                </c:pt>
                <c:pt idx="195">
                  <c:v>26.45</c:v>
                </c:pt>
                <c:pt idx="196">
                  <c:v>34.11</c:v>
                </c:pt>
                <c:pt idx="197">
                  <c:v>20.84</c:v>
                </c:pt>
                <c:pt idx="198">
                  <c:v>15.33</c:v>
                </c:pt>
                <c:pt idx="199">
                  <c:v>13.05</c:v>
                </c:pt>
                <c:pt idx="200">
                  <c:v>47.62</c:v>
                </c:pt>
                <c:pt idx="201">
                  <c:v>26.67</c:v>
                </c:pt>
                <c:pt idx="202">
                  <c:v>33.25</c:v>
                </c:pt>
                <c:pt idx="203">
                  <c:v>46.77</c:v>
                </c:pt>
                <c:pt idx="204">
                  <c:v>13.31</c:v>
                </c:pt>
                <c:pt idx="205">
                  <c:v>45.07</c:v>
                </c:pt>
                <c:pt idx="206">
                  <c:v>32.06</c:v>
                </c:pt>
                <c:pt idx="207">
                  <c:v>16.59</c:v>
                </c:pt>
                <c:pt idx="208">
                  <c:v>26.45</c:v>
                </c:pt>
                <c:pt idx="209">
                  <c:v>41.1</c:v>
                </c:pt>
                <c:pt idx="210">
                  <c:v>29.21</c:v>
                </c:pt>
                <c:pt idx="211">
                  <c:v>49.41</c:v>
                </c:pt>
                <c:pt idx="212">
                  <c:v>25.07</c:v>
                </c:pt>
                <c:pt idx="213">
                  <c:v>39.98</c:v>
                </c:pt>
                <c:pt idx="214">
                  <c:v>25.72</c:v>
                </c:pt>
                <c:pt idx="215">
                  <c:v>43.17</c:v>
                </c:pt>
                <c:pt idx="216">
                  <c:v>32.76</c:v>
                </c:pt>
                <c:pt idx="217">
                  <c:v>12.54</c:v>
                </c:pt>
                <c:pt idx="218">
                  <c:v>11.47</c:v>
                </c:pt>
                <c:pt idx="219">
                  <c:v>15.35</c:v>
                </c:pt>
                <c:pt idx="220">
                  <c:v>10.55</c:v>
                </c:pt>
                <c:pt idx="221">
                  <c:v>13.01</c:v>
                </c:pt>
                <c:pt idx="222">
                  <c:v>37.67</c:v>
                </c:pt>
                <c:pt idx="223">
                  <c:v>31.37</c:v>
                </c:pt>
                <c:pt idx="224">
                  <c:v>40</c:v>
                </c:pt>
                <c:pt idx="225">
                  <c:v>46.53</c:v>
                </c:pt>
                <c:pt idx="226">
                  <c:v>33.41</c:v>
                </c:pt>
                <c:pt idx="227">
                  <c:v>39.04</c:v>
                </c:pt>
                <c:pt idx="228">
                  <c:v>40.28</c:v>
                </c:pt>
                <c:pt idx="229">
                  <c:v>25.11</c:v>
                </c:pt>
                <c:pt idx="230">
                  <c:v>19.64</c:v>
                </c:pt>
                <c:pt idx="231">
                  <c:v>18.2</c:v>
                </c:pt>
                <c:pt idx="232">
                  <c:v>20.06</c:v>
                </c:pt>
                <c:pt idx="233">
                  <c:v>20.99</c:v>
                </c:pt>
                <c:pt idx="234">
                  <c:v>18.29</c:v>
                </c:pt>
                <c:pt idx="235">
                  <c:v>45.13</c:v>
                </c:pt>
                <c:pt idx="236">
                  <c:v>40.28</c:v>
                </c:pt>
                <c:pt idx="237">
                  <c:v>11.88</c:v>
                </c:pt>
                <c:pt idx="238">
                  <c:v>20.75</c:v>
                </c:pt>
                <c:pt idx="239">
                  <c:v>10.89</c:v>
                </c:pt>
                <c:pt idx="240">
                  <c:v>29.93</c:v>
                </c:pt>
                <c:pt idx="241">
                  <c:v>29.05</c:v>
                </c:pt>
                <c:pt idx="242">
                  <c:v>43.25</c:v>
                </c:pt>
                <c:pt idx="243">
                  <c:v>22.31</c:v>
                </c:pt>
                <c:pt idx="244">
                  <c:v>42.66</c:v>
                </c:pt>
                <c:pt idx="245">
                  <c:v>48.72</c:v>
                </c:pt>
                <c:pt idx="246">
                  <c:v>13.54</c:v>
                </c:pt>
                <c:pt idx="247">
                  <c:v>41.67</c:v>
                </c:pt>
                <c:pt idx="248">
                  <c:v>33.6</c:v>
                </c:pt>
                <c:pt idx="249">
                  <c:v>29.2</c:v>
                </c:pt>
                <c:pt idx="250">
                  <c:v>26.82</c:v>
                </c:pt>
                <c:pt idx="251">
                  <c:v>41.39</c:v>
                </c:pt>
                <c:pt idx="252">
                  <c:v>35.57</c:v>
                </c:pt>
                <c:pt idx="253">
                  <c:v>42.2</c:v>
                </c:pt>
                <c:pt idx="254">
                  <c:v>46.13</c:v>
                </c:pt>
                <c:pt idx="255">
                  <c:v>34.69</c:v>
                </c:pt>
                <c:pt idx="256">
                  <c:v>49.22</c:v>
                </c:pt>
                <c:pt idx="257">
                  <c:v>34.32</c:v>
                </c:pt>
                <c:pt idx="258">
                  <c:v>35.47</c:v>
                </c:pt>
                <c:pt idx="259">
                  <c:v>32.19</c:v>
                </c:pt>
                <c:pt idx="260">
                  <c:v>13.64</c:v>
                </c:pt>
                <c:pt idx="261">
                  <c:v>39.06</c:v>
                </c:pt>
                <c:pt idx="262">
                  <c:v>31.9</c:v>
                </c:pt>
                <c:pt idx="263">
                  <c:v>28.04</c:v>
                </c:pt>
                <c:pt idx="264">
                  <c:v>46.42</c:v>
                </c:pt>
                <c:pt idx="265">
                  <c:v>21.92</c:v>
                </c:pt>
                <c:pt idx="266">
                  <c:v>30.94</c:v>
                </c:pt>
                <c:pt idx="267">
                  <c:v>37.91</c:v>
                </c:pt>
                <c:pt idx="268">
                  <c:v>41.86</c:v>
                </c:pt>
                <c:pt idx="269">
                  <c:v>28.37</c:v>
                </c:pt>
                <c:pt idx="270">
                  <c:v>43.68</c:v>
                </c:pt>
                <c:pt idx="271">
                  <c:v>40.76</c:v>
                </c:pt>
                <c:pt idx="272">
                  <c:v>12.65</c:v>
                </c:pt>
                <c:pt idx="273">
                  <c:v>11.83</c:v>
                </c:pt>
                <c:pt idx="274">
                  <c:v>34.83</c:v>
                </c:pt>
                <c:pt idx="275">
                  <c:v>23.9</c:v>
                </c:pt>
                <c:pt idx="276">
                  <c:v>18.37</c:v>
                </c:pt>
                <c:pt idx="277">
                  <c:v>33.19</c:v>
                </c:pt>
                <c:pt idx="278">
                  <c:v>23.66</c:v>
                </c:pt>
                <c:pt idx="279">
                  <c:v>31.49</c:v>
                </c:pt>
                <c:pt idx="280">
                  <c:v>28.4</c:v>
                </c:pt>
                <c:pt idx="281">
                  <c:v>33.39</c:v>
                </c:pt>
                <c:pt idx="282">
                  <c:v>26.01</c:v>
                </c:pt>
                <c:pt idx="283">
                  <c:v>37.91</c:v>
                </c:pt>
                <c:pt idx="284">
                  <c:v>17.2</c:v>
                </c:pt>
                <c:pt idx="285">
                  <c:v>37.86</c:v>
                </c:pt>
                <c:pt idx="286">
                  <c:v>26.47</c:v>
                </c:pt>
                <c:pt idx="287">
                  <c:v>44.97</c:v>
                </c:pt>
                <c:pt idx="288">
                  <c:v>30.61</c:v>
                </c:pt>
                <c:pt idx="289">
                  <c:v>48.92</c:v>
                </c:pt>
                <c:pt idx="290">
                  <c:v>34.08</c:v>
                </c:pt>
                <c:pt idx="291">
                  <c:v>18.95</c:v>
                </c:pt>
                <c:pt idx="292">
                  <c:v>42.87</c:v>
                </c:pt>
                <c:pt idx="293">
                  <c:v>23.8</c:v>
                </c:pt>
                <c:pt idx="294">
                  <c:v>23.9</c:v>
                </c:pt>
                <c:pt idx="295">
                  <c:v>11.27</c:v>
                </c:pt>
                <c:pt idx="296">
                  <c:v>31.95</c:v>
                </c:pt>
                <c:pt idx="297">
                  <c:v>31.38</c:v>
                </c:pt>
                <c:pt idx="298">
                  <c:v>24.24</c:v>
                </c:pt>
                <c:pt idx="299">
                  <c:v>45.77</c:v>
                </c:pt>
                <c:pt idx="300">
                  <c:v>15.15</c:v>
                </c:pt>
                <c:pt idx="301">
                  <c:v>23.2</c:v>
                </c:pt>
                <c:pt idx="302">
                  <c:v>22.86</c:v>
                </c:pt>
                <c:pt idx="303">
                  <c:v>13.69</c:v>
                </c:pt>
                <c:pt idx="304">
                  <c:v>29.25</c:v>
                </c:pt>
                <c:pt idx="305">
                  <c:v>37.51</c:v>
                </c:pt>
                <c:pt idx="306">
                  <c:v>30.47</c:v>
                </c:pt>
                <c:pt idx="307">
                  <c:v>16.28</c:v>
                </c:pt>
                <c:pt idx="308">
                  <c:v>25.09</c:v>
                </c:pt>
                <c:pt idx="309">
                  <c:v>10.1</c:v>
                </c:pt>
                <c:pt idx="310">
                  <c:v>44.73</c:v>
                </c:pt>
                <c:pt idx="311">
                  <c:v>13.38</c:v>
                </c:pt>
                <c:pt idx="312">
                  <c:v>33.89</c:v>
                </c:pt>
                <c:pt idx="313">
                  <c:v>49.45</c:v>
                </c:pt>
                <c:pt idx="314">
                  <c:v>31.46</c:v>
                </c:pt>
                <c:pt idx="315">
                  <c:v>46.96</c:v>
                </c:pt>
                <c:pt idx="316">
                  <c:v>19.44</c:v>
                </c:pt>
                <c:pt idx="317">
                  <c:v>40.4</c:v>
                </c:pt>
                <c:pt idx="318">
                  <c:v>31.25</c:v>
                </c:pt>
                <c:pt idx="319">
                  <c:v>38.82</c:v>
                </c:pt>
                <c:pt idx="320">
                  <c:v>12.49</c:v>
                </c:pt>
                <c:pt idx="321">
                  <c:v>15.91</c:v>
                </c:pt>
                <c:pt idx="322">
                  <c:v>15.32</c:v>
                </c:pt>
                <c:pt idx="323">
                  <c:v>37.49</c:v>
                </c:pt>
                <c:pt idx="324">
                  <c:v>43.78</c:v>
                </c:pt>
                <c:pt idx="325">
                  <c:v>39.98</c:v>
                </c:pt>
                <c:pt idx="326">
                  <c:v>11.22</c:v>
                </c:pt>
                <c:pt idx="327">
                  <c:v>44.69</c:v>
                </c:pt>
                <c:pt idx="328">
                  <c:v>24.17</c:v>
                </c:pt>
                <c:pt idx="329">
                  <c:v>25.89</c:v>
                </c:pt>
                <c:pt idx="330">
                  <c:v>14.19</c:v>
                </c:pt>
                <c:pt idx="331">
                  <c:v>39.5</c:v>
                </c:pt>
                <c:pt idx="332">
                  <c:v>17.29</c:v>
                </c:pt>
                <c:pt idx="333">
                  <c:v>32.56</c:v>
                </c:pt>
                <c:pt idx="334">
                  <c:v>43.63</c:v>
                </c:pt>
                <c:pt idx="335">
                  <c:v>13.57</c:v>
                </c:pt>
                <c:pt idx="336">
                  <c:v>31.41</c:v>
                </c:pt>
                <c:pt idx="337">
                  <c:v>19.33</c:v>
                </c:pt>
                <c:pt idx="338">
                  <c:v>23.72</c:v>
                </c:pt>
                <c:pt idx="339">
                  <c:v>28.96</c:v>
                </c:pt>
                <c:pt idx="340">
                  <c:v>24.2</c:v>
                </c:pt>
                <c:pt idx="341">
                  <c:v>35.95</c:v>
                </c:pt>
                <c:pt idx="342">
                  <c:v>29.18</c:v>
                </c:pt>
                <c:pt idx="343">
                  <c:v>33.37</c:v>
                </c:pt>
                <c:pt idx="344">
                  <c:v>39.47</c:v>
                </c:pt>
                <c:pt idx="345">
                  <c:v>32.31</c:v>
                </c:pt>
              </c:numCache>
            </c:numRef>
          </c:xVal>
          <c:yVal>
            <c:numRef>
              <c:f>Sheet5!$F$4:$F$349</c:f>
              <c:numCache>
                <c:formatCode>General</c:formatCode>
                <c:ptCount val="346"/>
                <c:pt idx="0">
                  <c:v>416.07</c:v>
                </c:pt>
                <c:pt idx="1">
                  <c:v>91.93</c:v>
                </c:pt>
                <c:pt idx="2">
                  <c:v>255.73</c:v>
                </c:pt>
                <c:pt idx="3">
                  <c:v>341.12</c:v>
                </c:pt>
                <c:pt idx="4">
                  <c:v>488.17</c:v>
                </c:pt>
                <c:pt idx="5">
                  <c:v>159.28</c:v>
                </c:pt>
                <c:pt idx="6">
                  <c:v>77.01</c:v>
                </c:pt>
                <c:pt idx="7">
                  <c:v>430.84</c:v>
                </c:pt>
                <c:pt idx="8">
                  <c:v>179.51</c:v>
                </c:pt>
                <c:pt idx="9">
                  <c:v>386.66</c:v>
                </c:pt>
                <c:pt idx="10">
                  <c:v>295.13</c:v>
                </c:pt>
                <c:pt idx="11">
                  <c:v>399.09</c:v>
                </c:pt>
                <c:pt idx="12">
                  <c:v>152.33</c:v>
                </c:pt>
                <c:pt idx="13">
                  <c:v>276.32</c:v>
                </c:pt>
                <c:pt idx="14">
                  <c:v>300.81</c:v>
                </c:pt>
                <c:pt idx="15">
                  <c:v>354.32</c:v>
                </c:pt>
                <c:pt idx="16">
                  <c:v>500.55</c:v>
                </c:pt>
                <c:pt idx="17">
                  <c:v>203.91</c:v>
                </c:pt>
                <c:pt idx="18">
                  <c:v>432.61</c:v>
                </c:pt>
                <c:pt idx="19">
                  <c:v>206.38</c:v>
                </c:pt>
                <c:pt idx="20">
                  <c:v>195.63</c:v>
                </c:pt>
                <c:pt idx="21">
                  <c:v>90.89</c:v>
                </c:pt>
                <c:pt idx="22">
                  <c:v>200.3</c:v>
                </c:pt>
                <c:pt idx="23">
                  <c:v>245.92</c:v>
                </c:pt>
                <c:pt idx="24">
                  <c:v>315.35</c:v>
                </c:pt>
                <c:pt idx="25">
                  <c:v>184.18</c:v>
                </c:pt>
                <c:pt idx="26">
                  <c:v>436.6</c:v>
                </c:pt>
                <c:pt idx="27">
                  <c:v>131.87</c:v>
                </c:pt>
                <c:pt idx="28">
                  <c:v>106.68</c:v>
                </c:pt>
                <c:pt idx="29">
                  <c:v>258.72</c:v>
                </c:pt>
                <c:pt idx="30">
                  <c:v>313.76</c:v>
                </c:pt>
                <c:pt idx="31">
                  <c:v>541.61</c:v>
                </c:pt>
                <c:pt idx="32">
                  <c:v>300.76</c:v>
                </c:pt>
                <c:pt idx="33">
                  <c:v>536.67</c:v>
                </c:pt>
                <c:pt idx="34">
                  <c:v>480.94</c:v>
                </c:pt>
                <c:pt idx="35">
                  <c:v>437.08</c:v>
                </c:pt>
                <c:pt idx="36">
                  <c:v>190.6</c:v>
                </c:pt>
                <c:pt idx="37">
                  <c:v>446.77</c:v>
                </c:pt>
                <c:pt idx="38">
                  <c:v>367.07</c:v>
                </c:pt>
                <c:pt idx="39">
                  <c:v>333.42</c:v>
                </c:pt>
                <c:pt idx="40">
                  <c:v>427.54</c:v>
                </c:pt>
                <c:pt idx="41">
                  <c:v>139.38</c:v>
                </c:pt>
                <c:pt idx="42">
                  <c:v>450.71</c:v>
                </c:pt>
                <c:pt idx="43">
                  <c:v>233.14</c:v>
                </c:pt>
                <c:pt idx="44">
                  <c:v>151.31</c:v>
                </c:pt>
                <c:pt idx="45">
                  <c:v>267.58</c:v>
                </c:pt>
                <c:pt idx="46">
                  <c:v>448.95</c:v>
                </c:pt>
                <c:pt idx="47">
                  <c:v>187.49</c:v>
                </c:pt>
                <c:pt idx="48">
                  <c:v>102.9</c:v>
                </c:pt>
                <c:pt idx="49">
                  <c:v>251.59</c:v>
                </c:pt>
                <c:pt idx="50">
                  <c:v>431.08</c:v>
                </c:pt>
                <c:pt idx="51">
                  <c:v>387.72</c:v>
                </c:pt>
                <c:pt idx="52">
                  <c:v>351.41</c:v>
                </c:pt>
                <c:pt idx="53">
                  <c:v>102.71</c:v>
                </c:pt>
                <c:pt idx="54">
                  <c:v>313.18</c:v>
                </c:pt>
                <c:pt idx="55">
                  <c:v>134.26</c:v>
                </c:pt>
                <c:pt idx="56">
                  <c:v>422.09</c:v>
                </c:pt>
                <c:pt idx="57">
                  <c:v>113.76</c:v>
                </c:pt>
                <c:pt idx="58">
                  <c:v>458.18</c:v>
                </c:pt>
                <c:pt idx="59">
                  <c:v>332.15</c:v>
                </c:pt>
                <c:pt idx="60">
                  <c:v>502.9</c:v>
                </c:pt>
                <c:pt idx="61">
                  <c:v>380.78</c:v>
                </c:pt>
                <c:pt idx="62">
                  <c:v>493.44</c:v>
                </c:pt>
                <c:pt idx="63">
                  <c:v>510.08</c:v>
                </c:pt>
                <c:pt idx="64">
                  <c:v>83.24</c:v>
                </c:pt>
                <c:pt idx="65">
                  <c:v>256.89</c:v>
                </c:pt>
                <c:pt idx="66">
                  <c:v>343.45</c:v>
                </c:pt>
                <c:pt idx="67">
                  <c:v>397.37</c:v>
                </c:pt>
                <c:pt idx="68">
                  <c:v>480.43</c:v>
                </c:pt>
                <c:pt idx="69">
                  <c:v>471.84</c:v>
                </c:pt>
                <c:pt idx="70">
                  <c:v>442.3</c:v>
                </c:pt>
                <c:pt idx="71">
                  <c:v>339.03</c:v>
                </c:pt>
                <c:pt idx="72">
                  <c:v>188.38</c:v>
                </c:pt>
                <c:pt idx="73">
                  <c:v>67.53</c:v>
                </c:pt>
                <c:pt idx="74">
                  <c:v>503.24</c:v>
                </c:pt>
                <c:pt idx="75">
                  <c:v>190.84</c:v>
                </c:pt>
                <c:pt idx="76">
                  <c:v>373.68</c:v>
                </c:pt>
                <c:pt idx="77">
                  <c:v>162.25</c:v>
                </c:pt>
                <c:pt idx="78">
                  <c:v>167.8</c:v>
                </c:pt>
                <c:pt idx="79">
                  <c:v>323.56</c:v>
                </c:pt>
                <c:pt idx="80">
                  <c:v>385.39</c:v>
                </c:pt>
                <c:pt idx="81">
                  <c:v>389.39</c:v>
                </c:pt>
                <c:pt idx="82">
                  <c:v>85.12</c:v>
                </c:pt>
                <c:pt idx="83">
                  <c:v>302.58</c:v>
                </c:pt>
                <c:pt idx="84">
                  <c:v>273.44</c:v>
                </c:pt>
                <c:pt idx="85">
                  <c:v>430.34</c:v>
                </c:pt>
                <c:pt idx="86">
                  <c:v>196.41</c:v>
                </c:pt>
                <c:pt idx="87">
                  <c:v>423.77</c:v>
                </c:pt>
                <c:pt idx="88">
                  <c:v>484.28</c:v>
                </c:pt>
                <c:pt idx="89">
                  <c:v>180.29</c:v>
                </c:pt>
                <c:pt idx="90">
                  <c:v>408.41</c:v>
                </c:pt>
                <c:pt idx="91">
                  <c:v>201.79</c:v>
                </c:pt>
                <c:pt idx="92">
                  <c:v>566.35</c:v>
                </c:pt>
                <c:pt idx="93">
                  <c:v>220.78</c:v>
                </c:pt>
                <c:pt idx="94">
                  <c:v>501.4</c:v>
                </c:pt>
                <c:pt idx="95">
                  <c:v>293.41</c:v>
                </c:pt>
                <c:pt idx="96">
                  <c:v>461.19</c:v>
                </c:pt>
                <c:pt idx="97">
                  <c:v>232.12</c:v>
                </c:pt>
                <c:pt idx="98">
                  <c:v>122.5</c:v>
                </c:pt>
                <c:pt idx="99">
                  <c:v>469.92</c:v>
                </c:pt>
                <c:pt idx="100">
                  <c:v>71.34</c:v>
                </c:pt>
                <c:pt idx="101">
                  <c:v>410.19</c:v>
                </c:pt>
                <c:pt idx="102">
                  <c:v>399.13</c:v>
                </c:pt>
                <c:pt idx="103">
                  <c:v>248.96</c:v>
                </c:pt>
                <c:pt idx="104">
                  <c:v>69.91</c:v>
                </c:pt>
                <c:pt idx="105">
                  <c:v>309.49</c:v>
                </c:pt>
                <c:pt idx="106">
                  <c:v>389.22</c:v>
                </c:pt>
                <c:pt idx="107">
                  <c:v>457.5</c:v>
                </c:pt>
                <c:pt idx="108">
                  <c:v>425.44</c:v>
                </c:pt>
                <c:pt idx="109">
                  <c:v>141.66</c:v>
                </c:pt>
                <c:pt idx="110">
                  <c:v>446.54</c:v>
                </c:pt>
                <c:pt idx="111">
                  <c:v>96.24</c:v>
                </c:pt>
                <c:pt idx="112">
                  <c:v>160.1</c:v>
                </c:pt>
                <c:pt idx="113">
                  <c:v>431.65</c:v>
                </c:pt>
                <c:pt idx="114">
                  <c:v>493.13</c:v>
                </c:pt>
                <c:pt idx="115">
                  <c:v>327.06</c:v>
                </c:pt>
                <c:pt idx="116">
                  <c:v>328.38</c:v>
                </c:pt>
                <c:pt idx="117">
                  <c:v>140.37</c:v>
                </c:pt>
                <c:pt idx="118">
                  <c:v>451.41</c:v>
                </c:pt>
                <c:pt idx="119">
                  <c:v>353.02</c:v>
                </c:pt>
                <c:pt idx="120">
                  <c:v>411.32</c:v>
                </c:pt>
                <c:pt idx="121">
                  <c:v>159.06</c:v>
                </c:pt>
                <c:pt idx="122">
                  <c:v>198.66</c:v>
                </c:pt>
                <c:pt idx="123">
                  <c:v>285.47</c:v>
                </c:pt>
                <c:pt idx="124">
                  <c:v>116.92</c:v>
                </c:pt>
                <c:pt idx="125">
                  <c:v>396.6</c:v>
                </c:pt>
                <c:pt idx="126">
                  <c:v>204.83</c:v>
                </c:pt>
                <c:pt idx="127">
                  <c:v>354.43</c:v>
                </c:pt>
                <c:pt idx="128">
                  <c:v>213.62</c:v>
                </c:pt>
                <c:pt idx="129">
                  <c:v>246.49</c:v>
                </c:pt>
                <c:pt idx="130">
                  <c:v>323.95</c:v>
                </c:pt>
                <c:pt idx="131">
                  <c:v>140.23</c:v>
                </c:pt>
                <c:pt idx="132">
                  <c:v>348.5</c:v>
                </c:pt>
                <c:pt idx="133">
                  <c:v>432.04</c:v>
                </c:pt>
                <c:pt idx="134">
                  <c:v>143.52</c:v>
                </c:pt>
                <c:pt idx="135">
                  <c:v>371.92</c:v>
                </c:pt>
                <c:pt idx="136">
                  <c:v>325.84</c:v>
                </c:pt>
                <c:pt idx="137">
                  <c:v>461.85</c:v>
                </c:pt>
                <c:pt idx="138">
                  <c:v>489.76</c:v>
                </c:pt>
                <c:pt idx="139">
                  <c:v>383.87</c:v>
                </c:pt>
                <c:pt idx="140">
                  <c:v>315.1</c:v>
                </c:pt>
                <c:pt idx="141">
                  <c:v>276.85</c:v>
                </c:pt>
                <c:pt idx="142">
                  <c:v>274.87</c:v>
                </c:pt>
                <c:pt idx="143">
                  <c:v>91.44</c:v>
                </c:pt>
                <c:pt idx="144">
                  <c:v>135.84</c:v>
                </c:pt>
                <c:pt idx="145">
                  <c:v>458.34</c:v>
                </c:pt>
                <c:pt idx="146">
                  <c:v>114.66</c:v>
                </c:pt>
                <c:pt idx="147">
                  <c:v>259.34</c:v>
                </c:pt>
                <c:pt idx="148">
                  <c:v>257.38</c:v>
                </c:pt>
                <c:pt idx="149">
                  <c:v>321.19</c:v>
                </c:pt>
                <c:pt idx="150">
                  <c:v>110.74</c:v>
                </c:pt>
                <c:pt idx="151">
                  <c:v>353.01</c:v>
                </c:pt>
                <c:pt idx="152">
                  <c:v>145.03</c:v>
                </c:pt>
                <c:pt idx="153">
                  <c:v>233.62</c:v>
                </c:pt>
                <c:pt idx="154">
                  <c:v>453.31</c:v>
                </c:pt>
                <c:pt idx="155">
                  <c:v>440.11</c:v>
                </c:pt>
                <c:pt idx="156">
                  <c:v>138.39</c:v>
                </c:pt>
                <c:pt idx="157">
                  <c:v>302.19</c:v>
                </c:pt>
                <c:pt idx="158">
                  <c:v>138.96</c:v>
                </c:pt>
                <c:pt idx="159">
                  <c:v>309.6</c:v>
                </c:pt>
                <c:pt idx="160">
                  <c:v>33.97</c:v>
                </c:pt>
                <c:pt idx="161">
                  <c:v>468.13</c:v>
                </c:pt>
                <c:pt idx="162">
                  <c:v>347.01</c:v>
                </c:pt>
                <c:pt idx="163">
                  <c:v>399.31</c:v>
                </c:pt>
                <c:pt idx="164">
                  <c:v>383.28</c:v>
                </c:pt>
                <c:pt idx="165">
                  <c:v>318.39</c:v>
                </c:pt>
                <c:pt idx="166">
                  <c:v>362.95</c:v>
                </c:pt>
                <c:pt idx="167">
                  <c:v>130.24</c:v>
                </c:pt>
                <c:pt idx="168">
                  <c:v>352.46</c:v>
                </c:pt>
                <c:pt idx="169">
                  <c:v>377.05</c:v>
                </c:pt>
                <c:pt idx="170">
                  <c:v>257.68</c:v>
                </c:pt>
                <c:pt idx="171">
                  <c:v>244.47</c:v>
                </c:pt>
                <c:pt idx="172">
                  <c:v>77.64</c:v>
                </c:pt>
                <c:pt idx="173">
                  <c:v>339.92</c:v>
                </c:pt>
                <c:pt idx="174">
                  <c:v>524.74</c:v>
                </c:pt>
                <c:pt idx="175">
                  <c:v>275.9</c:v>
                </c:pt>
                <c:pt idx="176">
                  <c:v>133.28</c:v>
                </c:pt>
                <c:pt idx="177">
                  <c:v>472.62</c:v>
                </c:pt>
                <c:pt idx="178">
                  <c:v>218.74</c:v>
                </c:pt>
                <c:pt idx="179">
                  <c:v>450.16</c:v>
                </c:pt>
                <c:pt idx="180">
                  <c:v>64.3</c:v>
                </c:pt>
                <c:pt idx="181">
                  <c:v>441.73</c:v>
                </c:pt>
                <c:pt idx="182">
                  <c:v>166.79</c:v>
                </c:pt>
                <c:pt idx="183">
                  <c:v>363.36</c:v>
                </c:pt>
                <c:pt idx="184">
                  <c:v>493.88</c:v>
                </c:pt>
                <c:pt idx="185">
                  <c:v>298.57</c:v>
                </c:pt>
                <c:pt idx="186">
                  <c:v>168.18</c:v>
                </c:pt>
                <c:pt idx="187">
                  <c:v>116.09</c:v>
                </c:pt>
                <c:pt idx="188">
                  <c:v>226.87</c:v>
                </c:pt>
                <c:pt idx="189">
                  <c:v>457.48</c:v>
                </c:pt>
                <c:pt idx="190">
                  <c:v>417.17</c:v>
                </c:pt>
                <c:pt idx="191">
                  <c:v>179.37</c:v>
                </c:pt>
                <c:pt idx="192">
                  <c:v>498.1</c:v>
                </c:pt>
                <c:pt idx="193">
                  <c:v>252.1</c:v>
                </c:pt>
                <c:pt idx="194">
                  <c:v>151.12</c:v>
                </c:pt>
                <c:pt idx="195">
                  <c:v>153.83</c:v>
                </c:pt>
                <c:pt idx="196">
                  <c:v>491.13</c:v>
                </c:pt>
                <c:pt idx="197">
                  <c:v>214.28</c:v>
                </c:pt>
                <c:pt idx="198">
                  <c:v>199.87</c:v>
                </c:pt>
                <c:pt idx="199">
                  <c:v>359.75</c:v>
                </c:pt>
                <c:pt idx="200">
                  <c:v>402.59</c:v>
                </c:pt>
                <c:pt idx="201">
                  <c:v>179.91</c:v>
                </c:pt>
                <c:pt idx="202">
                  <c:v>306.35</c:v>
                </c:pt>
                <c:pt idx="203">
                  <c:v>137.31</c:v>
                </c:pt>
                <c:pt idx="204">
                  <c:v>472.26</c:v>
                </c:pt>
                <c:pt idx="205">
                  <c:v>451.52</c:v>
                </c:pt>
                <c:pt idx="206">
                  <c:v>399</c:v>
                </c:pt>
                <c:pt idx="207">
                  <c:v>355.5</c:v>
                </c:pt>
                <c:pt idx="208">
                  <c:v>244.46</c:v>
                </c:pt>
                <c:pt idx="209">
                  <c:v>97.8</c:v>
                </c:pt>
                <c:pt idx="210">
                  <c:v>381.05</c:v>
                </c:pt>
                <c:pt idx="211">
                  <c:v>465.57</c:v>
                </c:pt>
                <c:pt idx="212">
                  <c:v>204.78</c:v>
                </c:pt>
                <c:pt idx="213">
                  <c:v>335.52</c:v>
                </c:pt>
                <c:pt idx="214">
                  <c:v>272.53</c:v>
                </c:pt>
                <c:pt idx="215">
                  <c:v>182.71</c:v>
                </c:pt>
                <c:pt idx="216">
                  <c:v>414.14</c:v>
                </c:pt>
                <c:pt idx="217">
                  <c:v>460.9</c:v>
                </c:pt>
                <c:pt idx="218">
                  <c:v>257.19</c:v>
                </c:pt>
                <c:pt idx="219">
                  <c:v>213.33</c:v>
                </c:pt>
                <c:pt idx="220">
                  <c:v>155.84</c:v>
                </c:pt>
                <c:pt idx="221">
                  <c:v>336.27</c:v>
                </c:pt>
                <c:pt idx="222">
                  <c:v>372.08</c:v>
                </c:pt>
                <c:pt idx="223">
                  <c:v>357.01</c:v>
                </c:pt>
                <c:pt idx="224">
                  <c:v>134.34</c:v>
                </c:pt>
                <c:pt idx="225">
                  <c:v>319.74</c:v>
                </c:pt>
                <c:pt idx="226">
                  <c:v>218.3</c:v>
                </c:pt>
                <c:pt idx="227">
                  <c:v>464.17</c:v>
                </c:pt>
                <c:pt idx="228">
                  <c:v>185.79</c:v>
                </c:pt>
                <c:pt idx="229">
                  <c:v>340.98</c:v>
                </c:pt>
                <c:pt idx="230">
                  <c:v>68.4</c:v>
                </c:pt>
                <c:pt idx="231">
                  <c:v>206.39</c:v>
                </c:pt>
                <c:pt idx="232">
                  <c:v>205.65</c:v>
                </c:pt>
                <c:pt idx="233">
                  <c:v>337.7</c:v>
                </c:pt>
                <c:pt idx="234">
                  <c:v>273.05</c:v>
                </c:pt>
                <c:pt idx="235">
                  <c:v>244.51</c:v>
                </c:pt>
                <c:pt idx="236">
                  <c:v>95.15</c:v>
                </c:pt>
                <c:pt idx="237">
                  <c:v>496.88</c:v>
                </c:pt>
                <c:pt idx="238">
                  <c:v>382.92</c:v>
                </c:pt>
                <c:pt idx="239">
                  <c:v>425.76</c:v>
                </c:pt>
                <c:pt idx="240">
                  <c:v>317.84</c:v>
                </c:pt>
                <c:pt idx="241">
                  <c:v>318.12</c:v>
                </c:pt>
                <c:pt idx="242">
                  <c:v>245.08</c:v>
                </c:pt>
                <c:pt idx="243">
                  <c:v>369.48</c:v>
                </c:pt>
                <c:pt idx="244">
                  <c:v>133.87</c:v>
                </c:pt>
                <c:pt idx="245">
                  <c:v>270.95</c:v>
                </c:pt>
                <c:pt idx="246">
                  <c:v>329.15</c:v>
                </c:pt>
                <c:pt idx="247">
                  <c:v>288.56</c:v>
                </c:pt>
                <c:pt idx="248">
                  <c:v>464.84</c:v>
                </c:pt>
                <c:pt idx="249">
                  <c:v>247.66</c:v>
                </c:pt>
                <c:pt idx="250">
                  <c:v>117.7</c:v>
                </c:pt>
                <c:pt idx="251">
                  <c:v>393.99</c:v>
                </c:pt>
                <c:pt idx="252">
                  <c:v>119.58</c:v>
                </c:pt>
                <c:pt idx="253">
                  <c:v>227.11</c:v>
                </c:pt>
                <c:pt idx="254">
                  <c:v>447.96</c:v>
                </c:pt>
                <c:pt idx="255">
                  <c:v>358.79</c:v>
                </c:pt>
                <c:pt idx="256">
                  <c:v>203.03</c:v>
                </c:pt>
                <c:pt idx="257">
                  <c:v>77.55</c:v>
                </c:pt>
                <c:pt idx="258">
                  <c:v>281.11</c:v>
                </c:pt>
                <c:pt idx="259">
                  <c:v>370.08</c:v>
                </c:pt>
                <c:pt idx="260">
                  <c:v>356.61</c:v>
                </c:pt>
                <c:pt idx="261">
                  <c:v>432.01</c:v>
                </c:pt>
                <c:pt idx="262">
                  <c:v>410.26</c:v>
                </c:pt>
                <c:pt idx="263">
                  <c:v>313.82</c:v>
                </c:pt>
                <c:pt idx="264">
                  <c:v>460.27</c:v>
                </c:pt>
                <c:pt idx="265">
                  <c:v>468.16</c:v>
                </c:pt>
                <c:pt idx="266">
                  <c:v>428.3</c:v>
                </c:pt>
                <c:pt idx="267">
                  <c:v>158.61</c:v>
                </c:pt>
                <c:pt idx="268">
                  <c:v>90.04</c:v>
                </c:pt>
                <c:pt idx="269">
                  <c:v>251.43</c:v>
                </c:pt>
                <c:pt idx="270">
                  <c:v>120.78</c:v>
                </c:pt>
                <c:pt idx="271">
                  <c:v>150.07</c:v>
                </c:pt>
                <c:pt idx="272">
                  <c:v>256.72</c:v>
                </c:pt>
                <c:pt idx="273">
                  <c:v>126.54</c:v>
                </c:pt>
                <c:pt idx="274">
                  <c:v>102.28</c:v>
                </c:pt>
                <c:pt idx="275">
                  <c:v>246.58</c:v>
                </c:pt>
                <c:pt idx="276">
                  <c:v>140.27</c:v>
                </c:pt>
                <c:pt idx="277">
                  <c:v>341.67</c:v>
                </c:pt>
                <c:pt idx="278">
                  <c:v>101.68</c:v>
                </c:pt>
                <c:pt idx="279">
                  <c:v>114.11</c:v>
                </c:pt>
                <c:pt idx="280">
                  <c:v>207.01</c:v>
                </c:pt>
                <c:pt idx="281">
                  <c:v>367.1</c:v>
                </c:pt>
                <c:pt idx="282">
                  <c:v>117.3</c:v>
                </c:pt>
                <c:pt idx="283">
                  <c:v>181.81</c:v>
                </c:pt>
                <c:pt idx="284">
                  <c:v>243.47</c:v>
                </c:pt>
                <c:pt idx="285">
                  <c:v>477.67</c:v>
                </c:pt>
                <c:pt idx="286">
                  <c:v>147.29</c:v>
                </c:pt>
                <c:pt idx="287">
                  <c:v>334.88</c:v>
                </c:pt>
                <c:pt idx="288">
                  <c:v>395.64</c:v>
                </c:pt>
                <c:pt idx="289">
                  <c:v>96.88</c:v>
                </c:pt>
                <c:pt idx="290">
                  <c:v>324.02</c:v>
                </c:pt>
                <c:pt idx="291">
                  <c:v>199.14</c:v>
                </c:pt>
                <c:pt idx="292">
                  <c:v>130.95</c:v>
                </c:pt>
                <c:pt idx="293">
                  <c:v>291.54</c:v>
                </c:pt>
                <c:pt idx="294">
                  <c:v>470.01</c:v>
                </c:pt>
                <c:pt idx="295">
                  <c:v>305.22</c:v>
                </c:pt>
                <c:pt idx="296">
                  <c:v>105.72</c:v>
                </c:pt>
                <c:pt idx="297">
                  <c:v>233.18</c:v>
                </c:pt>
                <c:pt idx="298">
                  <c:v>460.21</c:v>
                </c:pt>
                <c:pt idx="299">
                  <c:v>2.19</c:v>
                </c:pt>
                <c:pt idx="300">
                  <c:v>178.23</c:v>
                </c:pt>
                <c:pt idx="301">
                  <c:v>140.24</c:v>
                </c:pt>
                <c:pt idx="302">
                  <c:v>439.27</c:v>
                </c:pt>
                <c:pt idx="303">
                  <c:v>465.08</c:v>
                </c:pt>
                <c:pt idx="304">
                  <c:v>459.83</c:v>
                </c:pt>
                <c:pt idx="305">
                  <c:v>439.89</c:v>
                </c:pt>
                <c:pt idx="306">
                  <c:v>359.96</c:v>
                </c:pt>
                <c:pt idx="307">
                  <c:v>317.57</c:v>
                </c:pt>
                <c:pt idx="308">
                  <c:v>224.78</c:v>
                </c:pt>
                <c:pt idx="309">
                  <c:v>110.36</c:v>
                </c:pt>
                <c:pt idx="310">
                  <c:v>365.54</c:v>
                </c:pt>
                <c:pt idx="311">
                  <c:v>181.12</c:v>
                </c:pt>
                <c:pt idx="312">
                  <c:v>494.73</c:v>
                </c:pt>
                <c:pt idx="313">
                  <c:v>402.03</c:v>
                </c:pt>
                <c:pt idx="314">
                  <c:v>340.06</c:v>
                </c:pt>
                <c:pt idx="315">
                  <c:v>190.66</c:v>
                </c:pt>
                <c:pt idx="316">
                  <c:v>465.16</c:v>
                </c:pt>
                <c:pt idx="317">
                  <c:v>258.41</c:v>
                </c:pt>
                <c:pt idx="318">
                  <c:v>192.26</c:v>
                </c:pt>
                <c:pt idx="319">
                  <c:v>370.04</c:v>
                </c:pt>
                <c:pt idx="320">
                  <c:v>489.64</c:v>
                </c:pt>
                <c:pt idx="321">
                  <c:v>311.4</c:v>
                </c:pt>
                <c:pt idx="322">
                  <c:v>340.01</c:v>
                </c:pt>
                <c:pt idx="323">
                  <c:v>348.49</c:v>
                </c:pt>
                <c:pt idx="324">
                  <c:v>337.42</c:v>
                </c:pt>
                <c:pt idx="325">
                  <c:v>103.76</c:v>
                </c:pt>
                <c:pt idx="326">
                  <c:v>308.72</c:v>
                </c:pt>
                <c:pt idx="327">
                  <c:v>203</c:v>
                </c:pt>
                <c:pt idx="328">
                  <c:v>112.43</c:v>
                </c:pt>
                <c:pt idx="329">
                  <c:v>121.43</c:v>
                </c:pt>
                <c:pt idx="330">
                  <c:v>379.95</c:v>
                </c:pt>
                <c:pt idx="331">
                  <c:v>362.48</c:v>
                </c:pt>
                <c:pt idx="332">
                  <c:v>470.74</c:v>
                </c:pt>
                <c:pt idx="333">
                  <c:v>305.26</c:v>
                </c:pt>
                <c:pt idx="334">
                  <c:v>241.35</c:v>
                </c:pt>
                <c:pt idx="335">
                  <c:v>213.14</c:v>
                </c:pt>
                <c:pt idx="336">
                  <c:v>237.07</c:v>
                </c:pt>
                <c:pt idx="337">
                  <c:v>359.41</c:v>
                </c:pt>
                <c:pt idx="338">
                  <c:v>225.18</c:v>
                </c:pt>
                <c:pt idx="339">
                  <c:v>88.21</c:v>
                </c:pt>
                <c:pt idx="340">
                  <c:v>325.42</c:v>
                </c:pt>
                <c:pt idx="341">
                  <c:v>334.97</c:v>
                </c:pt>
                <c:pt idx="342">
                  <c:v>298.36</c:v>
                </c:pt>
                <c:pt idx="343">
                  <c:v>95.44</c:v>
                </c:pt>
                <c:pt idx="344">
                  <c:v>401.9</c:v>
                </c:pt>
                <c:pt idx="345">
                  <c:v>278.63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318206"/>
        <c:axId val="496991453"/>
      </c:scatterChart>
      <c:valAx>
        <c:axId val="7903182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991453"/>
        <c:crosses val="autoZero"/>
        <c:crossBetween val="midCat"/>
      </c:valAx>
      <c:valAx>
        <c:axId val="49699145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31820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0a689c-4bf7-487a-86f5-ab27b7cc8e2a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Forecasting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309843400447427"/>
          <c:y val="0.02314814814814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Sheet8!$G$1</c:f>
              <c:strCache>
                <c:ptCount val="1"/>
                <c:pt idx="0">
                  <c:v>Average actual montly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[1]Sheet8!$F$2:$F$13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[1]Sheet8!$G$2:$G$13</c:f>
              <c:numCache>
                <c:formatCode>General</c:formatCode>
                <c:ptCount val="12"/>
                <c:pt idx="0">
                  <c:v>7180.04</c:v>
                </c:pt>
                <c:pt idx="1">
                  <c:v>8816.06</c:v>
                </c:pt>
                <c:pt idx="2">
                  <c:v>9888.57</c:v>
                </c:pt>
                <c:pt idx="3">
                  <c:v>9743.46</c:v>
                </c:pt>
                <c:pt idx="4">
                  <c:v>9161.56</c:v>
                </c:pt>
                <c:pt idx="5">
                  <c:v>8470.67</c:v>
                </c:pt>
                <c:pt idx="6">
                  <c:v>9337.71</c:v>
                </c:pt>
                <c:pt idx="7">
                  <c:v>8697.73</c:v>
                </c:pt>
                <c:pt idx="8">
                  <c:v>9419.17</c:v>
                </c:pt>
                <c:pt idx="9">
                  <c:v>7131.21</c:v>
                </c:pt>
                <c:pt idx="10">
                  <c:v>4920.88</c:v>
                </c:pt>
                <c:pt idx="11">
                  <c:v>8770.34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Sheet8!$H$1</c:f>
              <c:strCache>
                <c:ptCount val="1"/>
                <c:pt idx="0">
                  <c:v>average forecasted monthly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[1]Sheet8!$F$2:$F$13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[1]Sheet8!$H$2:$H$13</c:f>
              <c:numCache>
                <c:formatCode>General</c:formatCode>
                <c:ptCount val="12"/>
                <c:pt idx="0">
                  <c:v>10049.8075</c:v>
                </c:pt>
                <c:pt idx="1">
                  <c:v>10655.752</c:v>
                </c:pt>
                <c:pt idx="2">
                  <c:v>11940.872</c:v>
                </c:pt>
                <c:pt idx="3">
                  <c:v>11604.9015</c:v>
                </c:pt>
                <c:pt idx="4">
                  <c:v>11861.3005</c:v>
                </c:pt>
                <c:pt idx="5">
                  <c:v>11668.8935</c:v>
                </c:pt>
                <c:pt idx="6">
                  <c:v>12202.974</c:v>
                </c:pt>
                <c:pt idx="7">
                  <c:v>12217.881</c:v>
                </c:pt>
                <c:pt idx="8">
                  <c:v>11706.74</c:v>
                </c:pt>
                <c:pt idx="9">
                  <c:v>12268.1445</c:v>
                </c:pt>
                <c:pt idx="10">
                  <c:v>6387.458</c:v>
                </c:pt>
                <c:pt idx="11">
                  <c:v>12355.1625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808488"/>
        <c:axId val="856632535"/>
      </c:lineChart>
      <c:catAx>
        <c:axId val="289808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632535"/>
        <c:crosses val="autoZero"/>
        <c:auto val="1"/>
        <c:lblAlgn val="ctr"/>
        <c:lblOffset val="100"/>
        <c:noMultiLvlLbl val="0"/>
      </c:catAx>
      <c:valAx>
        <c:axId val="856632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980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596610-871a-4333-bc70-680bc028fb65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marketing spend vs sales relationship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47625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{7265,7266,7267,7268,7269,7270,7271,7272,7273,7274,7275,7276,7277,7278,7279,7280,7281,7282,7283,7284,7285,7286,7287,7288,7289,7290,7291,7292,7293,7294,7295,7296,7297,7298,7299,7300,7301,7302,7303,7304,7305,7306,7307,7308,7309,7310,7311,7312,7313,7314,7315,7316,7317,7318,7319,7320,7321,7322,7323,7324,7325,7326,7327,7328,7329,7330,7331,7332,7333,7334,7335,7336,7337,7338,7339,7340,7341,7342,7343,7344,7345,7346,7347,7348,7349,7350,7351,7352,7353,7354,7355,7356,7357,7358,7359,7360,7361,7362,7363,7364,7365,7366,7367,7368,7369,7370,7371,7372,7373,7374,7375,7376,7377,7378,7379,7380,7381,7382,7383,7384,7385,7386,7387,7388,7389,7390,7391,7392,7393,7394,7395,7396,7397,7398,7399,7400,7401,7402,7403,7404,7405,7406,7407,7408,7409,7410,7411,7412,7413,7414,7415,7416,7417,7418,7419,7420,7421,7422,7423,7424,7425,7426,7427,7428,7429,7430,7431,7432,7433,7434,7435,7436,7437,7438,7439,7440,7441,7442,7443,7444,7445,7446,7447,7448,7449,7450,7451,7452,7453,7454,7455,7456,7457,7458,7459,7460,7461,7462,7463,7464,7465,7466,7467,7468,7469,7470,7471,7472,7473,7474,7475,7476,7477,7478,7479,7480,7481,7482,7483,7484,7485,7486,7487,7488,7489,7490,7491,7492,7493,7494,7495,7496,7497,7498,7499,7500,7501,7502,7503,7504,7505,7506,7507,7508,7509,7510,7511,7512,7513,7514,7515,7516,7517,7518,7519,7520,7521,7522,7523,7524,7525,7526,7527,7528,7529,7530,7531,7532,7533,7534,7535,7536,7537,7538,7539,7540,7541,7542,7543,7544,7545,7546,7547,7548,7549,7550,7551,7552,7553,7554,7555,7556,7557,7558,7559,7560,7561,7562,7563,7564,7565,7566,7567,7568,7569,7570,7571,7572,7573,7574,7575,7576,7577,7578,7579,7580,7581,7582,7583,7584,7585,7586,7587,7588,7589,7590,7591,7592,7593,7594,7595,7596,7597,7598,7599,7600,7601,7602,7603,7604,7605,7606,7607,7608,7609,7610}</c:f>
              <c:numCache>
                <c:formatCode>General</c:formatCode>
                <c:ptCount val="346"/>
                <c:pt idx="0">
                  <c:v>7265</c:v>
                </c:pt>
                <c:pt idx="1">
                  <c:v>7266</c:v>
                </c:pt>
                <c:pt idx="2">
                  <c:v>7267</c:v>
                </c:pt>
                <c:pt idx="3">
                  <c:v>7268</c:v>
                </c:pt>
                <c:pt idx="4">
                  <c:v>7269</c:v>
                </c:pt>
                <c:pt idx="5">
                  <c:v>7270</c:v>
                </c:pt>
                <c:pt idx="6">
                  <c:v>7271</c:v>
                </c:pt>
                <c:pt idx="7">
                  <c:v>7272</c:v>
                </c:pt>
                <c:pt idx="8">
                  <c:v>7273</c:v>
                </c:pt>
                <c:pt idx="9">
                  <c:v>7274</c:v>
                </c:pt>
                <c:pt idx="10">
                  <c:v>7275</c:v>
                </c:pt>
                <c:pt idx="11">
                  <c:v>7276</c:v>
                </c:pt>
                <c:pt idx="12">
                  <c:v>7277</c:v>
                </c:pt>
                <c:pt idx="13">
                  <c:v>7278</c:v>
                </c:pt>
                <c:pt idx="14">
                  <c:v>7279</c:v>
                </c:pt>
                <c:pt idx="15">
                  <c:v>7280</c:v>
                </c:pt>
                <c:pt idx="16">
                  <c:v>7281</c:v>
                </c:pt>
                <c:pt idx="17">
                  <c:v>7282</c:v>
                </c:pt>
                <c:pt idx="18">
                  <c:v>7283</c:v>
                </c:pt>
                <c:pt idx="19">
                  <c:v>7284</c:v>
                </c:pt>
                <c:pt idx="20">
                  <c:v>7285</c:v>
                </c:pt>
                <c:pt idx="21">
                  <c:v>7286</c:v>
                </c:pt>
                <c:pt idx="22">
                  <c:v>7287</c:v>
                </c:pt>
                <c:pt idx="23">
                  <c:v>7288</c:v>
                </c:pt>
                <c:pt idx="24">
                  <c:v>7289</c:v>
                </c:pt>
                <c:pt idx="25">
                  <c:v>7290</c:v>
                </c:pt>
                <c:pt idx="26">
                  <c:v>7291</c:v>
                </c:pt>
                <c:pt idx="27">
                  <c:v>7292</c:v>
                </c:pt>
                <c:pt idx="28">
                  <c:v>7293</c:v>
                </c:pt>
                <c:pt idx="29">
                  <c:v>7294</c:v>
                </c:pt>
                <c:pt idx="30">
                  <c:v>7295</c:v>
                </c:pt>
                <c:pt idx="31">
                  <c:v>7296</c:v>
                </c:pt>
                <c:pt idx="32">
                  <c:v>7297</c:v>
                </c:pt>
                <c:pt idx="33">
                  <c:v>7298</c:v>
                </c:pt>
                <c:pt idx="34">
                  <c:v>7299</c:v>
                </c:pt>
                <c:pt idx="35">
                  <c:v>7300</c:v>
                </c:pt>
                <c:pt idx="36">
                  <c:v>7301</c:v>
                </c:pt>
                <c:pt idx="37">
                  <c:v>7302</c:v>
                </c:pt>
                <c:pt idx="38">
                  <c:v>7303</c:v>
                </c:pt>
                <c:pt idx="39">
                  <c:v>7304</c:v>
                </c:pt>
                <c:pt idx="40">
                  <c:v>7305</c:v>
                </c:pt>
                <c:pt idx="41">
                  <c:v>7306</c:v>
                </c:pt>
                <c:pt idx="42">
                  <c:v>7307</c:v>
                </c:pt>
                <c:pt idx="43">
                  <c:v>7308</c:v>
                </c:pt>
                <c:pt idx="44">
                  <c:v>7309</c:v>
                </c:pt>
                <c:pt idx="45">
                  <c:v>7310</c:v>
                </c:pt>
                <c:pt idx="46">
                  <c:v>7311</c:v>
                </c:pt>
                <c:pt idx="47">
                  <c:v>7312</c:v>
                </c:pt>
                <c:pt idx="48">
                  <c:v>7313</c:v>
                </c:pt>
                <c:pt idx="49">
                  <c:v>7314</c:v>
                </c:pt>
                <c:pt idx="50">
                  <c:v>7315</c:v>
                </c:pt>
                <c:pt idx="51">
                  <c:v>7316</c:v>
                </c:pt>
                <c:pt idx="52">
                  <c:v>7317</c:v>
                </c:pt>
                <c:pt idx="53">
                  <c:v>7318</c:v>
                </c:pt>
                <c:pt idx="54">
                  <c:v>7319</c:v>
                </c:pt>
                <c:pt idx="55">
                  <c:v>7320</c:v>
                </c:pt>
                <c:pt idx="56">
                  <c:v>7321</c:v>
                </c:pt>
                <c:pt idx="57">
                  <c:v>7322</c:v>
                </c:pt>
                <c:pt idx="58">
                  <c:v>7323</c:v>
                </c:pt>
                <c:pt idx="59">
                  <c:v>7324</c:v>
                </c:pt>
                <c:pt idx="60">
                  <c:v>7325</c:v>
                </c:pt>
                <c:pt idx="61">
                  <c:v>7326</c:v>
                </c:pt>
                <c:pt idx="62">
                  <c:v>7327</c:v>
                </c:pt>
                <c:pt idx="63">
                  <c:v>7328</c:v>
                </c:pt>
                <c:pt idx="64">
                  <c:v>7329</c:v>
                </c:pt>
                <c:pt idx="65">
                  <c:v>7330</c:v>
                </c:pt>
                <c:pt idx="66">
                  <c:v>7331</c:v>
                </c:pt>
                <c:pt idx="67">
                  <c:v>7332</c:v>
                </c:pt>
                <c:pt idx="68">
                  <c:v>7333</c:v>
                </c:pt>
                <c:pt idx="69">
                  <c:v>7334</c:v>
                </c:pt>
                <c:pt idx="70">
                  <c:v>7335</c:v>
                </c:pt>
                <c:pt idx="71">
                  <c:v>7336</c:v>
                </c:pt>
                <c:pt idx="72">
                  <c:v>7337</c:v>
                </c:pt>
                <c:pt idx="73">
                  <c:v>7338</c:v>
                </c:pt>
                <c:pt idx="74">
                  <c:v>7339</c:v>
                </c:pt>
                <c:pt idx="75">
                  <c:v>7340</c:v>
                </c:pt>
                <c:pt idx="76">
                  <c:v>7341</c:v>
                </c:pt>
                <c:pt idx="77">
                  <c:v>7342</c:v>
                </c:pt>
                <c:pt idx="78">
                  <c:v>7343</c:v>
                </c:pt>
                <c:pt idx="79">
                  <c:v>7344</c:v>
                </c:pt>
                <c:pt idx="80">
                  <c:v>7345</c:v>
                </c:pt>
                <c:pt idx="81">
                  <c:v>7346</c:v>
                </c:pt>
                <c:pt idx="82">
                  <c:v>7347</c:v>
                </c:pt>
                <c:pt idx="83">
                  <c:v>7348</c:v>
                </c:pt>
                <c:pt idx="84">
                  <c:v>7349</c:v>
                </c:pt>
                <c:pt idx="85">
                  <c:v>7350</c:v>
                </c:pt>
                <c:pt idx="86">
                  <c:v>7351</c:v>
                </c:pt>
                <c:pt idx="87">
                  <c:v>7352</c:v>
                </c:pt>
                <c:pt idx="88">
                  <c:v>7353</c:v>
                </c:pt>
                <c:pt idx="89">
                  <c:v>7354</c:v>
                </c:pt>
                <c:pt idx="90">
                  <c:v>7355</c:v>
                </c:pt>
                <c:pt idx="91">
                  <c:v>7356</c:v>
                </c:pt>
                <c:pt idx="92">
                  <c:v>7357</c:v>
                </c:pt>
                <c:pt idx="93">
                  <c:v>7358</c:v>
                </c:pt>
                <c:pt idx="94">
                  <c:v>7359</c:v>
                </c:pt>
                <c:pt idx="95">
                  <c:v>7360</c:v>
                </c:pt>
                <c:pt idx="96">
                  <c:v>7361</c:v>
                </c:pt>
                <c:pt idx="97">
                  <c:v>7362</c:v>
                </c:pt>
                <c:pt idx="98">
                  <c:v>7363</c:v>
                </c:pt>
                <c:pt idx="99">
                  <c:v>7364</c:v>
                </c:pt>
                <c:pt idx="100">
                  <c:v>7365</c:v>
                </c:pt>
                <c:pt idx="101">
                  <c:v>7366</c:v>
                </c:pt>
                <c:pt idx="102">
                  <c:v>7367</c:v>
                </c:pt>
                <c:pt idx="103">
                  <c:v>7368</c:v>
                </c:pt>
                <c:pt idx="104">
                  <c:v>7369</c:v>
                </c:pt>
                <c:pt idx="105">
                  <c:v>7370</c:v>
                </c:pt>
                <c:pt idx="106">
                  <c:v>7371</c:v>
                </c:pt>
                <c:pt idx="107">
                  <c:v>7372</c:v>
                </c:pt>
                <c:pt idx="108">
                  <c:v>7373</c:v>
                </c:pt>
                <c:pt idx="109">
                  <c:v>7374</c:v>
                </c:pt>
                <c:pt idx="110">
                  <c:v>7375</c:v>
                </c:pt>
                <c:pt idx="111">
                  <c:v>7376</c:v>
                </c:pt>
                <c:pt idx="112">
                  <c:v>7377</c:v>
                </c:pt>
                <c:pt idx="113">
                  <c:v>7378</c:v>
                </c:pt>
                <c:pt idx="114">
                  <c:v>7379</c:v>
                </c:pt>
                <c:pt idx="115">
                  <c:v>7380</c:v>
                </c:pt>
                <c:pt idx="116">
                  <c:v>7381</c:v>
                </c:pt>
                <c:pt idx="117">
                  <c:v>7382</c:v>
                </c:pt>
                <c:pt idx="118">
                  <c:v>7383</c:v>
                </c:pt>
                <c:pt idx="119">
                  <c:v>7384</c:v>
                </c:pt>
                <c:pt idx="120">
                  <c:v>7385</c:v>
                </c:pt>
                <c:pt idx="121">
                  <c:v>7386</c:v>
                </c:pt>
                <c:pt idx="122">
                  <c:v>7387</c:v>
                </c:pt>
                <c:pt idx="123">
                  <c:v>7388</c:v>
                </c:pt>
                <c:pt idx="124">
                  <c:v>7389</c:v>
                </c:pt>
                <c:pt idx="125">
                  <c:v>7390</c:v>
                </c:pt>
                <c:pt idx="126">
                  <c:v>7391</c:v>
                </c:pt>
                <c:pt idx="127">
                  <c:v>7392</c:v>
                </c:pt>
                <c:pt idx="128">
                  <c:v>7393</c:v>
                </c:pt>
                <c:pt idx="129">
                  <c:v>7394</c:v>
                </c:pt>
                <c:pt idx="130">
                  <c:v>7395</c:v>
                </c:pt>
                <c:pt idx="131">
                  <c:v>7396</c:v>
                </c:pt>
                <c:pt idx="132">
                  <c:v>7397</c:v>
                </c:pt>
                <c:pt idx="133">
                  <c:v>7398</c:v>
                </c:pt>
                <c:pt idx="134">
                  <c:v>7399</c:v>
                </c:pt>
                <c:pt idx="135">
                  <c:v>7400</c:v>
                </c:pt>
                <c:pt idx="136">
                  <c:v>7401</c:v>
                </c:pt>
                <c:pt idx="137">
                  <c:v>7402</c:v>
                </c:pt>
                <c:pt idx="138">
                  <c:v>7403</c:v>
                </c:pt>
                <c:pt idx="139">
                  <c:v>7404</c:v>
                </c:pt>
                <c:pt idx="140">
                  <c:v>7405</c:v>
                </c:pt>
                <c:pt idx="141">
                  <c:v>7406</c:v>
                </c:pt>
                <c:pt idx="142">
                  <c:v>7407</c:v>
                </c:pt>
                <c:pt idx="143">
                  <c:v>7408</c:v>
                </c:pt>
                <c:pt idx="144">
                  <c:v>7409</c:v>
                </c:pt>
                <c:pt idx="145">
                  <c:v>7410</c:v>
                </c:pt>
                <c:pt idx="146">
                  <c:v>7411</c:v>
                </c:pt>
                <c:pt idx="147">
                  <c:v>7412</c:v>
                </c:pt>
                <c:pt idx="148">
                  <c:v>7413</c:v>
                </c:pt>
                <c:pt idx="149">
                  <c:v>7414</c:v>
                </c:pt>
                <c:pt idx="150">
                  <c:v>7415</c:v>
                </c:pt>
                <c:pt idx="151">
                  <c:v>7416</c:v>
                </c:pt>
                <c:pt idx="152">
                  <c:v>7417</c:v>
                </c:pt>
                <c:pt idx="153">
                  <c:v>7418</c:v>
                </c:pt>
                <c:pt idx="154">
                  <c:v>7419</c:v>
                </c:pt>
                <c:pt idx="155">
                  <c:v>7420</c:v>
                </c:pt>
                <c:pt idx="156">
                  <c:v>7421</c:v>
                </c:pt>
                <c:pt idx="157">
                  <c:v>7422</c:v>
                </c:pt>
                <c:pt idx="158">
                  <c:v>7423</c:v>
                </c:pt>
                <c:pt idx="159">
                  <c:v>7424</c:v>
                </c:pt>
                <c:pt idx="160">
                  <c:v>7425</c:v>
                </c:pt>
                <c:pt idx="161">
                  <c:v>7426</c:v>
                </c:pt>
                <c:pt idx="162">
                  <c:v>7427</c:v>
                </c:pt>
                <c:pt idx="163">
                  <c:v>7428</c:v>
                </c:pt>
                <c:pt idx="164">
                  <c:v>7429</c:v>
                </c:pt>
                <c:pt idx="165">
                  <c:v>7430</c:v>
                </c:pt>
                <c:pt idx="166">
                  <c:v>7431</c:v>
                </c:pt>
                <c:pt idx="167">
                  <c:v>7432</c:v>
                </c:pt>
                <c:pt idx="168">
                  <c:v>7433</c:v>
                </c:pt>
                <c:pt idx="169">
                  <c:v>7434</c:v>
                </c:pt>
                <c:pt idx="170">
                  <c:v>7435</c:v>
                </c:pt>
                <c:pt idx="171">
                  <c:v>7436</c:v>
                </c:pt>
                <c:pt idx="172">
                  <c:v>7437</c:v>
                </c:pt>
                <c:pt idx="173">
                  <c:v>7438</c:v>
                </c:pt>
                <c:pt idx="174">
                  <c:v>7439</c:v>
                </c:pt>
                <c:pt idx="175">
                  <c:v>7440</c:v>
                </c:pt>
                <c:pt idx="176">
                  <c:v>7441</c:v>
                </c:pt>
                <c:pt idx="177">
                  <c:v>7442</c:v>
                </c:pt>
                <c:pt idx="178">
                  <c:v>7443</c:v>
                </c:pt>
                <c:pt idx="179">
                  <c:v>7444</c:v>
                </c:pt>
                <c:pt idx="180">
                  <c:v>7445</c:v>
                </c:pt>
                <c:pt idx="181">
                  <c:v>7446</c:v>
                </c:pt>
                <c:pt idx="182">
                  <c:v>7447</c:v>
                </c:pt>
                <c:pt idx="183">
                  <c:v>7448</c:v>
                </c:pt>
                <c:pt idx="184">
                  <c:v>7449</c:v>
                </c:pt>
                <c:pt idx="185">
                  <c:v>7450</c:v>
                </c:pt>
                <c:pt idx="186">
                  <c:v>7451</c:v>
                </c:pt>
                <c:pt idx="187">
                  <c:v>7452</c:v>
                </c:pt>
                <c:pt idx="188">
                  <c:v>7453</c:v>
                </c:pt>
                <c:pt idx="189">
                  <c:v>7454</c:v>
                </c:pt>
                <c:pt idx="190">
                  <c:v>7455</c:v>
                </c:pt>
                <c:pt idx="191">
                  <c:v>7456</c:v>
                </c:pt>
                <c:pt idx="192">
                  <c:v>7457</c:v>
                </c:pt>
                <c:pt idx="193">
                  <c:v>7458</c:v>
                </c:pt>
                <c:pt idx="194">
                  <c:v>7459</c:v>
                </c:pt>
                <c:pt idx="195">
                  <c:v>7460</c:v>
                </c:pt>
                <c:pt idx="196">
                  <c:v>7461</c:v>
                </c:pt>
                <c:pt idx="197">
                  <c:v>7462</c:v>
                </c:pt>
                <c:pt idx="198">
                  <c:v>7463</c:v>
                </c:pt>
                <c:pt idx="199">
                  <c:v>7464</c:v>
                </c:pt>
                <c:pt idx="200">
                  <c:v>7465</c:v>
                </c:pt>
                <c:pt idx="201">
                  <c:v>7466</c:v>
                </c:pt>
                <c:pt idx="202">
                  <c:v>7467</c:v>
                </c:pt>
                <c:pt idx="203">
                  <c:v>7468</c:v>
                </c:pt>
                <c:pt idx="204">
                  <c:v>7469</c:v>
                </c:pt>
                <c:pt idx="205">
                  <c:v>7470</c:v>
                </c:pt>
                <c:pt idx="206">
                  <c:v>7471</c:v>
                </c:pt>
                <c:pt idx="207">
                  <c:v>7472</c:v>
                </c:pt>
                <c:pt idx="208">
                  <c:v>7473</c:v>
                </c:pt>
                <c:pt idx="209">
                  <c:v>7474</c:v>
                </c:pt>
                <c:pt idx="210">
                  <c:v>7475</c:v>
                </c:pt>
                <c:pt idx="211">
                  <c:v>7476</c:v>
                </c:pt>
                <c:pt idx="212">
                  <c:v>7477</c:v>
                </c:pt>
                <c:pt idx="213">
                  <c:v>7478</c:v>
                </c:pt>
                <c:pt idx="214">
                  <c:v>7479</c:v>
                </c:pt>
                <c:pt idx="215">
                  <c:v>7480</c:v>
                </c:pt>
                <c:pt idx="216">
                  <c:v>7481</c:v>
                </c:pt>
                <c:pt idx="217">
                  <c:v>7482</c:v>
                </c:pt>
                <c:pt idx="218">
                  <c:v>7483</c:v>
                </c:pt>
                <c:pt idx="219">
                  <c:v>7484</c:v>
                </c:pt>
                <c:pt idx="220">
                  <c:v>7485</c:v>
                </c:pt>
                <c:pt idx="221">
                  <c:v>7486</c:v>
                </c:pt>
                <c:pt idx="222">
                  <c:v>7487</c:v>
                </c:pt>
                <c:pt idx="223">
                  <c:v>7488</c:v>
                </c:pt>
                <c:pt idx="224">
                  <c:v>7489</c:v>
                </c:pt>
                <c:pt idx="225">
                  <c:v>7490</c:v>
                </c:pt>
                <c:pt idx="226">
                  <c:v>7491</c:v>
                </c:pt>
                <c:pt idx="227">
                  <c:v>7492</c:v>
                </c:pt>
                <c:pt idx="228">
                  <c:v>7493</c:v>
                </c:pt>
                <c:pt idx="229">
                  <c:v>7494</c:v>
                </c:pt>
                <c:pt idx="230">
                  <c:v>7495</c:v>
                </c:pt>
                <c:pt idx="231">
                  <c:v>7496</c:v>
                </c:pt>
                <c:pt idx="232">
                  <c:v>7497</c:v>
                </c:pt>
                <c:pt idx="233">
                  <c:v>7498</c:v>
                </c:pt>
                <c:pt idx="234">
                  <c:v>7499</c:v>
                </c:pt>
                <c:pt idx="235">
                  <c:v>7500</c:v>
                </c:pt>
                <c:pt idx="236">
                  <c:v>7501</c:v>
                </c:pt>
                <c:pt idx="237">
                  <c:v>7502</c:v>
                </c:pt>
                <c:pt idx="238">
                  <c:v>7503</c:v>
                </c:pt>
                <c:pt idx="239">
                  <c:v>7504</c:v>
                </c:pt>
                <c:pt idx="240">
                  <c:v>7505</c:v>
                </c:pt>
                <c:pt idx="241">
                  <c:v>7506</c:v>
                </c:pt>
                <c:pt idx="242">
                  <c:v>7507</c:v>
                </c:pt>
                <c:pt idx="243">
                  <c:v>7508</c:v>
                </c:pt>
                <c:pt idx="244">
                  <c:v>7509</c:v>
                </c:pt>
                <c:pt idx="245">
                  <c:v>7510</c:v>
                </c:pt>
                <c:pt idx="246">
                  <c:v>7511</c:v>
                </c:pt>
                <c:pt idx="247">
                  <c:v>7512</c:v>
                </c:pt>
                <c:pt idx="248">
                  <c:v>7513</c:v>
                </c:pt>
                <c:pt idx="249">
                  <c:v>7514</c:v>
                </c:pt>
                <c:pt idx="250">
                  <c:v>7515</c:v>
                </c:pt>
                <c:pt idx="251">
                  <c:v>7516</c:v>
                </c:pt>
                <c:pt idx="252">
                  <c:v>7517</c:v>
                </c:pt>
                <c:pt idx="253">
                  <c:v>7518</c:v>
                </c:pt>
                <c:pt idx="254">
                  <c:v>7519</c:v>
                </c:pt>
                <c:pt idx="255">
                  <c:v>7520</c:v>
                </c:pt>
                <c:pt idx="256">
                  <c:v>7521</c:v>
                </c:pt>
                <c:pt idx="257">
                  <c:v>7522</c:v>
                </c:pt>
                <c:pt idx="258">
                  <c:v>7523</c:v>
                </c:pt>
                <c:pt idx="259">
                  <c:v>7524</c:v>
                </c:pt>
                <c:pt idx="260">
                  <c:v>7525</c:v>
                </c:pt>
                <c:pt idx="261">
                  <c:v>7526</c:v>
                </c:pt>
                <c:pt idx="262">
                  <c:v>7527</c:v>
                </c:pt>
                <c:pt idx="263">
                  <c:v>7528</c:v>
                </c:pt>
                <c:pt idx="264">
                  <c:v>7529</c:v>
                </c:pt>
                <c:pt idx="265">
                  <c:v>7530</c:v>
                </c:pt>
                <c:pt idx="266">
                  <c:v>7531</c:v>
                </c:pt>
                <c:pt idx="267">
                  <c:v>7532</c:v>
                </c:pt>
                <c:pt idx="268">
                  <c:v>7533</c:v>
                </c:pt>
                <c:pt idx="269">
                  <c:v>7534</c:v>
                </c:pt>
                <c:pt idx="270">
                  <c:v>7535</c:v>
                </c:pt>
                <c:pt idx="271">
                  <c:v>7536</c:v>
                </c:pt>
                <c:pt idx="272">
                  <c:v>7537</c:v>
                </c:pt>
                <c:pt idx="273">
                  <c:v>7538</c:v>
                </c:pt>
                <c:pt idx="274">
                  <c:v>7539</c:v>
                </c:pt>
                <c:pt idx="275">
                  <c:v>7540</c:v>
                </c:pt>
                <c:pt idx="276">
                  <c:v>7541</c:v>
                </c:pt>
                <c:pt idx="277">
                  <c:v>7542</c:v>
                </c:pt>
                <c:pt idx="278">
                  <c:v>7543</c:v>
                </c:pt>
                <c:pt idx="279">
                  <c:v>7544</c:v>
                </c:pt>
                <c:pt idx="280">
                  <c:v>7545</c:v>
                </c:pt>
                <c:pt idx="281">
                  <c:v>7546</c:v>
                </c:pt>
                <c:pt idx="282">
                  <c:v>7547</c:v>
                </c:pt>
                <c:pt idx="283">
                  <c:v>7548</c:v>
                </c:pt>
                <c:pt idx="284">
                  <c:v>7549</c:v>
                </c:pt>
                <c:pt idx="285">
                  <c:v>7550</c:v>
                </c:pt>
                <c:pt idx="286">
                  <c:v>7551</c:v>
                </c:pt>
                <c:pt idx="287">
                  <c:v>7552</c:v>
                </c:pt>
                <c:pt idx="288">
                  <c:v>7553</c:v>
                </c:pt>
                <c:pt idx="289">
                  <c:v>7554</c:v>
                </c:pt>
                <c:pt idx="290">
                  <c:v>7555</c:v>
                </c:pt>
                <c:pt idx="291">
                  <c:v>7556</c:v>
                </c:pt>
                <c:pt idx="292">
                  <c:v>7557</c:v>
                </c:pt>
                <c:pt idx="293">
                  <c:v>7558</c:v>
                </c:pt>
                <c:pt idx="294">
                  <c:v>7559</c:v>
                </c:pt>
                <c:pt idx="295">
                  <c:v>7560</c:v>
                </c:pt>
                <c:pt idx="296">
                  <c:v>7561</c:v>
                </c:pt>
                <c:pt idx="297">
                  <c:v>7562</c:v>
                </c:pt>
                <c:pt idx="298">
                  <c:v>7563</c:v>
                </c:pt>
                <c:pt idx="299">
                  <c:v>7564</c:v>
                </c:pt>
                <c:pt idx="300">
                  <c:v>7565</c:v>
                </c:pt>
                <c:pt idx="301">
                  <c:v>7566</c:v>
                </c:pt>
                <c:pt idx="302">
                  <c:v>7567</c:v>
                </c:pt>
                <c:pt idx="303">
                  <c:v>7568</c:v>
                </c:pt>
                <c:pt idx="304">
                  <c:v>7569</c:v>
                </c:pt>
                <c:pt idx="305">
                  <c:v>7570</c:v>
                </c:pt>
                <c:pt idx="306">
                  <c:v>7571</c:v>
                </c:pt>
                <c:pt idx="307">
                  <c:v>7572</c:v>
                </c:pt>
                <c:pt idx="308">
                  <c:v>7573</c:v>
                </c:pt>
                <c:pt idx="309">
                  <c:v>7574</c:v>
                </c:pt>
                <c:pt idx="310">
                  <c:v>7575</c:v>
                </c:pt>
                <c:pt idx="311">
                  <c:v>7576</c:v>
                </c:pt>
                <c:pt idx="312">
                  <c:v>7577</c:v>
                </c:pt>
                <c:pt idx="313">
                  <c:v>7578</c:v>
                </c:pt>
                <c:pt idx="314">
                  <c:v>7579</c:v>
                </c:pt>
                <c:pt idx="315">
                  <c:v>7580</c:v>
                </c:pt>
                <c:pt idx="316">
                  <c:v>7581</c:v>
                </c:pt>
                <c:pt idx="317">
                  <c:v>7582</c:v>
                </c:pt>
                <c:pt idx="318">
                  <c:v>7583</c:v>
                </c:pt>
                <c:pt idx="319">
                  <c:v>7584</c:v>
                </c:pt>
                <c:pt idx="320">
                  <c:v>7585</c:v>
                </c:pt>
                <c:pt idx="321">
                  <c:v>7586</c:v>
                </c:pt>
                <c:pt idx="322">
                  <c:v>7587</c:v>
                </c:pt>
                <c:pt idx="323">
                  <c:v>7588</c:v>
                </c:pt>
                <c:pt idx="324">
                  <c:v>7589</c:v>
                </c:pt>
                <c:pt idx="325">
                  <c:v>7590</c:v>
                </c:pt>
                <c:pt idx="326">
                  <c:v>7591</c:v>
                </c:pt>
                <c:pt idx="327">
                  <c:v>7592</c:v>
                </c:pt>
                <c:pt idx="328">
                  <c:v>7593</c:v>
                </c:pt>
                <c:pt idx="329">
                  <c:v>7594</c:v>
                </c:pt>
                <c:pt idx="330">
                  <c:v>7595</c:v>
                </c:pt>
                <c:pt idx="331">
                  <c:v>7596</c:v>
                </c:pt>
                <c:pt idx="332">
                  <c:v>7597</c:v>
                </c:pt>
                <c:pt idx="333">
                  <c:v>7598</c:v>
                </c:pt>
                <c:pt idx="334">
                  <c:v>7599</c:v>
                </c:pt>
                <c:pt idx="335">
                  <c:v>7600</c:v>
                </c:pt>
                <c:pt idx="336">
                  <c:v>7601</c:v>
                </c:pt>
                <c:pt idx="337">
                  <c:v>7602</c:v>
                </c:pt>
                <c:pt idx="338">
                  <c:v>7603</c:v>
                </c:pt>
                <c:pt idx="339">
                  <c:v>7604</c:v>
                </c:pt>
                <c:pt idx="340">
                  <c:v>7605</c:v>
                </c:pt>
                <c:pt idx="341">
                  <c:v>7606</c:v>
                </c:pt>
                <c:pt idx="342">
                  <c:v>7607</c:v>
                </c:pt>
                <c:pt idx="343">
                  <c:v>7608</c:v>
                </c:pt>
                <c:pt idx="344">
                  <c:v>7609</c:v>
                </c:pt>
                <c:pt idx="345">
                  <c:v>7610</c:v>
                </c:pt>
              </c:numCache>
            </c:numRef>
          </c:xVal>
          <c:yVal>
            <c:numRef>
              <c:f>{416.07,91.93,255.73,341.12,488.17,159.28,77.01,430.84,179.51,386.66,295.13,399.09,152.33,276.32,300.81,354.32,500.55,203.91,432.61,206.38,195.63,90.89,200.3,245.92,315.35,184.18,436.6,131.87,106.68,258.72,313.76,541.61,300.76,536.67,480.94,437.08,190.6,446.77,367.07,333.42,427.54,139.38,450.71,233.14,151.31,267.58,448.95,187.49,102.9,251.59,431.08,387.72,351.41,102.71,313.18,134.26,422.09,113.76,458.18,332.15,502.9,380.78,493.44,510.08,83.24,256.89,343.45,397.37,480.43,471.84,442.3,339.03,188.38,67.53,503.24,190.84,373.68,162.25,167.8,323.56,385.39,389.39,85.12,302.58,273.44,430.34,196.41,423.77,484.28,180.29,408.41,201.79,566.35,220.78,501.4,293.41,461.19,232.12,122.5,469.92,71.34,410.19,399.13,248.96,69.91,309.49,389.22,457.5,425.44,141.66,446.54,96.24,160.1,431.65,493.13,327.06,328.38,140.37,451.41,353.02,411.32,159.06,198.66,285.47,116.92,396.6,204.83,354.43,213.62,246.49,323.95,140.23,348.5,432.04,143.52,371.92,325.84,461.85,489.76,383.87,315.1,276.85,274.87,91.44,135.84,458.34,114.66,259.34,257.38,321.19,110.74,353.01,145.03,233.62,453.31,440.11,138.39,302.19,138.96,309.6,33.97,468.13,347.01,399.31,383.28,318.39,362.95,130.24,352.46,377.05,257.68,244.47,77.64,339.92,524.74,275.9,133.28,472.62,218.74,450.16,64.3,441.73,166.79,363.36,493.88,298.57,168.18,116.09,226.87,457.48,417.17,179.37,498.1,252.1,151.12,153.83,491.13,214.28,199.87,359.75,402.59,179.91,306.35,137.31,472.26,451.52,399,355.5,244.46,97.8,381.05,465.57,204.78,335.52,272.53,182.71,414.14,460.9,257.19,213.33,155.84,336.27,372.08,357.01,134.34,319.74,218.3,464.17,185.79,340.98,68.4,206.39,205.65,337.7,273.05,244.51,95.15,496.88,382.92,425.76,317.84,318.12,245.08,369.48,133.87,270.95,329.15,288.56,464.84,247.66,117.7,393.99,119.58,227.11,447.96,358.79,203.03,77.55,281.11,370.08,356.61,432.01,410.26,313.82,460.27,468.16,428.3,158.61,90.04,251.43,120.78,150.07,256.72,126.54,102.28,246.58,140.27,341.67,101.68,114.11,207.01,367.1,117.3,181.81,243.47,477.67,147.29,334.88,395.64,96.88,324.02,199.14,130.95,291.54,470.01,305.22,105.72,233.18,460.21,2.19,178.23,140.24,439.27,465.08,459.83,439.89,359.96,317.57,224.78,110.36,365.54,181.12,494.73,402.03,340.06,190.66,465.16,258.41,192.26,370.04,489.64,311.4,340.01,348.49,337.42,103.76,308.72,203,112.43,121.43,379.95,362.48,470.74,305.26,241.35,213.14,237.07,359.41,225.18,88.21,325.42,334.97,298.36,95.44,401.9,278.63}</c:f>
              <c:numCache>
                <c:formatCode>General</c:formatCode>
                <c:ptCount val="346"/>
                <c:pt idx="0">
                  <c:v>416.07</c:v>
                </c:pt>
                <c:pt idx="1">
                  <c:v>91.93</c:v>
                </c:pt>
                <c:pt idx="2">
                  <c:v>255.73</c:v>
                </c:pt>
                <c:pt idx="3">
                  <c:v>341.12</c:v>
                </c:pt>
                <c:pt idx="4">
                  <c:v>488.17</c:v>
                </c:pt>
                <c:pt idx="5">
                  <c:v>159.28</c:v>
                </c:pt>
                <c:pt idx="6">
                  <c:v>77.01</c:v>
                </c:pt>
                <c:pt idx="7">
                  <c:v>430.84</c:v>
                </c:pt>
                <c:pt idx="8">
                  <c:v>179.51</c:v>
                </c:pt>
                <c:pt idx="9">
                  <c:v>386.66</c:v>
                </c:pt>
                <c:pt idx="10">
                  <c:v>295.13</c:v>
                </c:pt>
                <c:pt idx="11">
                  <c:v>399.09</c:v>
                </c:pt>
                <c:pt idx="12">
                  <c:v>152.33</c:v>
                </c:pt>
                <c:pt idx="13">
                  <c:v>276.32</c:v>
                </c:pt>
                <c:pt idx="14">
                  <c:v>300.81</c:v>
                </c:pt>
                <c:pt idx="15">
                  <c:v>354.32</c:v>
                </c:pt>
                <c:pt idx="16">
                  <c:v>500.55</c:v>
                </c:pt>
                <c:pt idx="17">
                  <c:v>203.91</c:v>
                </c:pt>
                <c:pt idx="18">
                  <c:v>432.61</c:v>
                </c:pt>
                <c:pt idx="19">
                  <c:v>206.38</c:v>
                </c:pt>
                <c:pt idx="20">
                  <c:v>195.63</c:v>
                </c:pt>
                <c:pt idx="21">
                  <c:v>90.89</c:v>
                </c:pt>
                <c:pt idx="22">
                  <c:v>200.3</c:v>
                </c:pt>
                <c:pt idx="23">
                  <c:v>245.92</c:v>
                </c:pt>
                <c:pt idx="24">
                  <c:v>315.35</c:v>
                </c:pt>
                <c:pt idx="25">
                  <c:v>184.18</c:v>
                </c:pt>
                <c:pt idx="26">
                  <c:v>436.6</c:v>
                </c:pt>
                <c:pt idx="27">
                  <c:v>131.87</c:v>
                </c:pt>
                <c:pt idx="28">
                  <c:v>106.68</c:v>
                </c:pt>
                <c:pt idx="29">
                  <c:v>258.72</c:v>
                </c:pt>
                <c:pt idx="30">
                  <c:v>313.76</c:v>
                </c:pt>
                <c:pt idx="31">
                  <c:v>541.61</c:v>
                </c:pt>
                <c:pt idx="32">
                  <c:v>300.76</c:v>
                </c:pt>
                <c:pt idx="33">
                  <c:v>536.67</c:v>
                </c:pt>
                <c:pt idx="34">
                  <c:v>480.94</c:v>
                </c:pt>
                <c:pt idx="35">
                  <c:v>437.08</c:v>
                </c:pt>
                <c:pt idx="36">
                  <c:v>190.6</c:v>
                </c:pt>
                <c:pt idx="37">
                  <c:v>446.77</c:v>
                </c:pt>
                <c:pt idx="38">
                  <c:v>367.07</c:v>
                </c:pt>
                <c:pt idx="39">
                  <c:v>333.42</c:v>
                </c:pt>
                <c:pt idx="40">
                  <c:v>427.54</c:v>
                </c:pt>
                <c:pt idx="41">
                  <c:v>139.38</c:v>
                </c:pt>
                <c:pt idx="42">
                  <c:v>450.71</c:v>
                </c:pt>
                <c:pt idx="43">
                  <c:v>233.14</c:v>
                </c:pt>
                <c:pt idx="44">
                  <c:v>151.31</c:v>
                </c:pt>
                <c:pt idx="45">
                  <c:v>267.58</c:v>
                </c:pt>
                <c:pt idx="46">
                  <c:v>448.95</c:v>
                </c:pt>
                <c:pt idx="47">
                  <c:v>187.49</c:v>
                </c:pt>
                <c:pt idx="48">
                  <c:v>102.9</c:v>
                </c:pt>
                <c:pt idx="49">
                  <c:v>251.59</c:v>
                </c:pt>
                <c:pt idx="50">
                  <c:v>431.08</c:v>
                </c:pt>
                <c:pt idx="51">
                  <c:v>387.72</c:v>
                </c:pt>
                <c:pt idx="52">
                  <c:v>351.41</c:v>
                </c:pt>
                <c:pt idx="53">
                  <c:v>102.71</c:v>
                </c:pt>
                <c:pt idx="54">
                  <c:v>313.18</c:v>
                </c:pt>
                <c:pt idx="55">
                  <c:v>134.26</c:v>
                </c:pt>
                <c:pt idx="56">
                  <c:v>422.09</c:v>
                </c:pt>
                <c:pt idx="57">
                  <c:v>113.76</c:v>
                </c:pt>
                <c:pt idx="58">
                  <c:v>458.18</c:v>
                </c:pt>
                <c:pt idx="59">
                  <c:v>332.15</c:v>
                </c:pt>
                <c:pt idx="60">
                  <c:v>502.9</c:v>
                </c:pt>
                <c:pt idx="61">
                  <c:v>380.78</c:v>
                </c:pt>
                <c:pt idx="62">
                  <c:v>493.44</c:v>
                </c:pt>
                <c:pt idx="63">
                  <c:v>510.08</c:v>
                </c:pt>
                <c:pt idx="64">
                  <c:v>83.24</c:v>
                </c:pt>
                <c:pt idx="65">
                  <c:v>256.89</c:v>
                </c:pt>
                <c:pt idx="66">
                  <c:v>343.45</c:v>
                </c:pt>
                <c:pt idx="67">
                  <c:v>397.37</c:v>
                </c:pt>
                <c:pt idx="68">
                  <c:v>480.43</c:v>
                </c:pt>
                <c:pt idx="69">
                  <c:v>471.84</c:v>
                </c:pt>
                <c:pt idx="70">
                  <c:v>442.3</c:v>
                </c:pt>
                <c:pt idx="71">
                  <c:v>339.03</c:v>
                </c:pt>
                <c:pt idx="72">
                  <c:v>188.38</c:v>
                </c:pt>
                <c:pt idx="73">
                  <c:v>67.53</c:v>
                </c:pt>
                <c:pt idx="74">
                  <c:v>503.24</c:v>
                </c:pt>
                <c:pt idx="75">
                  <c:v>190.84</c:v>
                </c:pt>
                <c:pt idx="76">
                  <c:v>373.68</c:v>
                </c:pt>
                <c:pt idx="77">
                  <c:v>162.25</c:v>
                </c:pt>
                <c:pt idx="78">
                  <c:v>167.8</c:v>
                </c:pt>
                <c:pt idx="79">
                  <c:v>323.56</c:v>
                </c:pt>
                <c:pt idx="80">
                  <c:v>385.39</c:v>
                </c:pt>
                <c:pt idx="81">
                  <c:v>389.39</c:v>
                </c:pt>
                <c:pt idx="82">
                  <c:v>85.12</c:v>
                </c:pt>
                <c:pt idx="83">
                  <c:v>302.58</c:v>
                </c:pt>
                <c:pt idx="84">
                  <c:v>273.44</c:v>
                </c:pt>
                <c:pt idx="85">
                  <c:v>430.34</c:v>
                </c:pt>
                <c:pt idx="86">
                  <c:v>196.41</c:v>
                </c:pt>
                <c:pt idx="87">
                  <c:v>423.77</c:v>
                </c:pt>
                <c:pt idx="88">
                  <c:v>484.28</c:v>
                </c:pt>
                <c:pt idx="89">
                  <c:v>180.29</c:v>
                </c:pt>
                <c:pt idx="90">
                  <c:v>408.41</c:v>
                </c:pt>
                <c:pt idx="91">
                  <c:v>201.79</c:v>
                </c:pt>
                <c:pt idx="92">
                  <c:v>566.35</c:v>
                </c:pt>
                <c:pt idx="93">
                  <c:v>220.78</c:v>
                </c:pt>
                <c:pt idx="94">
                  <c:v>501.4</c:v>
                </c:pt>
                <c:pt idx="95">
                  <c:v>293.41</c:v>
                </c:pt>
                <c:pt idx="96">
                  <c:v>461.19</c:v>
                </c:pt>
                <c:pt idx="97">
                  <c:v>232.12</c:v>
                </c:pt>
                <c:pt idx="98">
                  <c:v>122.5</c:v>
                </c:pt>
                <c:pt idx="99">
                  <c:v>469.92</c:v>
                </c:pt>
                <c:pt idx="100">
                  <c:v>71.34</c:v>
                </c:pt>
                <c:pt idx="101">
                  <c:v>410.19</c:v>
                </c:pt>
                <c:pt idx="102">
                  <c:v>399.13</c:v>
                </c:pt>
                <c:pt idx="103">
                  <c:v>248.96</c:v>
                </c:pt>
                <c:pt idx="104">
                  <c:v>69.91</c:v>
                </c:pt>
                <c:pt idx="105">
                  <c:v>309.49</c:v>
                </c:pt>
                <c:pt idx="106">
                  <c:v>389.22</c:v>
                </c:pt>
                <c:pt idx="107">
                  <c:v>457.5</c:v>
                </c:pt>
                <c:pt idx="108">
                  <c:v>425.44</c:v>
                </c:pt>
                <c:pt idx="109">
                  <c:v>141.66</c:v>
                </c:pt>
                <c:pt idx="110">
                  <c:v>446.54</c:v>
                </c:pt>
                <c:pt idx="111">
                  <c:v>96.24</c:v>
                </c:pt>
                <c:pt idx="112">
                  <c:v>160.1</c:v>
                </c:pt>
                <c:pt idx="113">
                  <c:v>431.65</c:v>
                </c:pt>
                <c:pt idx="114">
                  <c:v>493.13</c:v>
                </c:pt>
                <c:pt idx="115">
                  <c:v>327.06</c:v>
                </c:pt>
                <c:pt idx="116">
                  <c:v>328.38</c:v>
                </c:pt>
                <c:pt idx="117">
                  <c:v>140.37</c:v>
                </c:pt>
                <c:pt idx="118">
                  <c:v>451.41</c:v>
                </c:pt>
                <c:pt idx="119">
                  <c:v>353.02</c:v>
                </c:pt>
                <c:pt idx="120">
                  <c:v>411.32</c:v>
                </c:pt>
                <c:pt idx="121">
                  <c:v>159.06</c:v>
                </c:pt>
                <c:pt idx="122">
                  <c:v>198.66</c:v>
                </c:pt>
                <c:pt idx="123">
                  <c:v>285.47</c:v>
                </c:pt>
                <c:pt idx="124">
                  <c:v>116.92</c:v>
                </c:pt>
                <c:pt idx="125">
                  <c:v>396.6</c:v>
                </c:pt>
                <c:pt idx="126">
                  <c:v>204.83</c:v>
                </c:pt>
                <c:pt idx="127">
                  <c:v>354.43</c:v>
                </c:pt>
                <c:pt idx="128">
                  <c:v>213.62</c:v>
                </c:pt>
                <c:pt idx="129">
                  <c:v>246.49</c:v>
                </c:pt>
                <c:pt idx="130">
                  <c:v>323.95</c:v>
                </c:pt>
                <c:pt idx="131">
                  <c:v>140.23</c:v>
                </c:pt>
                <c:pt idx="132">
                  <c:v>348.5</c:v>
                </c:pt>
                <c:pt idx="133">
                  <c:v>432.04</c:v>
                </c:pt>
                <c:pt idx="134">
                  <c:v>143.52</c:v>
                </c:pt>
                <c:pt idx="135">
                  <c:v>371.92</c:v>
                </c:pt>
                <c:pt idx="136">
                  <c:v>325.84</c:v>
                </c:pt>
                <c:pt idx="137">
                  <c:v>461.85</c:v>
                </c:pt>
                <c:pt idx="138">
                  <c:v>489.76</c:v>
                </c:pt>
                <c:pt idx="139">
                  <c:v>383.87</c:v>
                </c:pt>
                <c:pt idx="140">
                  <c:v>315.1</c:v>
                </c:pt>
                <c:pt idx="141">
                  <c:v>276.85</c:v>
                </c:pt>
                <c:pt idx="142">
                  <c:v>274.87</c:v>
                </c:pt>
                <c:pt idx="143">
                  <c:v>91.44</c:v>
                </c:pt>
                <c:pt idx="144">
                  <c:v>135.84</c:v>
                </c:pt>
                <c:pt idx="145">
                  <c:v>458.34</c:v>
                </c:pt>
                <c:pt idx="146">
                  <c:v>114.66</c:v>
                </c:pt>
                <c:pt idx="147">
                  <c:v>259.34</c:v>
                </c:pt>
                <c:pt idx="148">
                  <c:v>257.38</c:v>
                </c:pt>
                <c:pt idx="149">
                  <c:v>321.19</c:v>
                </c:pt>
                <c:pt idx="150">
                  <c:v>110.74</c:v>
                </c:pt>
                <c:pt idx="151">
                  <c:v>353.01</c:v>
                </c:pt>
                <c:pt idx="152">
                  <c:v>145.03</c:v>
                </c:pt>
                <c:pt idx="153">
                  <c:v>233.62</c:v>
                </c:pt>
                <c:pt idx="154">
                  <c:v>453.31</c:v>
                </c:pt>
                <c:pt idx="155">
                  <c:v>440.11</c:v>
                </c:pt>
                <c:pt idx="156">
                  <c:v>138.39</c:v>
                </c:pt>
                <c:pt idx="157">
                  <c:v>302.19</c:v>
                </c:pt>
                <c:pt idx="158">
                  <c:v>138.96</c:v>
                </c:pt>
                <c:pt idx="159">
                  <c:v>309.6</c:v>
                </c:pt>
                <c:pt idx="160">
                  <c:v>33.97</c:v>
                </c:pt>
                <c:pt idx="161">
                  <c:v>468.13</c:v>
                </c:pt>
                <c:pt idx="162">
                  <c:v>347.01</c:v>
                </c:pt>
                <c:pt idx="163">
                  <c:v>399.31</c:v>
                </c:pt>
                <c:pt idx="164">
                  <c:v>383.28</c:v>
                </c:pt>
                <c:pt idx="165">
                  <c:v>318.39</c:v>
                </c:pt>
                <c:pt idx="166">
                  <c:v>362.95</c:v>
                </c:pt>
                <c:pt idx="167">
                  <c:v>130.24</c:v>
                </c:pt>
                <c:pt idx="168">
                  <c:v>352.46</c:v>
                </c:pt>
                <c:pt idx="169">
                  <c:v>377.05</c:v>
                </c:pt>
                <c:pt idx="170">
                  <c:v>257.68</c:v>
                </c:pt>
                <c:pt idx="171">
                  <c:v>244.47</c:v>
                </c:pt>
                <c:pt idx="172">
                  <c:v>77.64</c:v>
                </c:pt>
                <c:pt idx="173">
                  <c:v>339.92</c:v>
                </c:pt>
                <c:pt idx="174">
                  <c:v>524.74</c:v>
                </c:pt>
                <c:pt idx="175">
                  <c:v>275.9</c:v>
                </c:pt>
                <c:pt idx="176">
                  <c:v>133.28</c:v>
                </c:pt>
                <c:pt idx="177">
                  <c:v>472.62</c:v>
                </c:pt>
                <c:pt idx="178">
                  <c:v>218.74</c:v>
                </c:pt>
                <c:pt idx="179">
                  <c:v>450.16</c:v>
                </c:pt>
                <c:pt idx="180">
                  <c:v>64.3</c:v>
                </c:pt>
                <c:pt idx="181">
                  <c:v>441.73</c:v>
                </c:pt>
                <c:pt idx="182">
                  <c:v>166.79</c:v>
                </c:pt>
                <c:pt idx="183">
                  <c:v>363.36</c:v>
                </c:pt>
                <c:pt idx="184">
                  <c:v>493.88</c:v>
                </c:pt>
                <c:pt idx="185">
                  <c:v>298.57</c:v>
                </c:pt>
                <c:pt idx="186">
                  <c:v>168.18</c:v>
                </c:pt>
                <c:pt idx="187">
                  <c:v>116.09</c:v>
                </c:pt>
                <c:pt idx="188">
                  <c:v>226.87</c:v>
                </c:pt>
                <c:pt idx="189">
                  <c:v>457.48</c:v>
                </c:pt>
                <c:pt idx="190">
                  <c:v>417.17</c:v>
                </c:pt>
                <c:pt idx="191">
                  <c:v>179.37</c:v>
                </c:pt>
                <c:pt idx="192">
                  <c:v>498.1</c:v>
                </c:pt>
                <c:pt idx="193">
                  <c:v>252.1</c:v>
                </c:pt>
                <c:pt idx="194">
                  <c:v>151.12</c:v>
                </c:pt>
                <c:pt idx="195">
                  <c:v>153.83</c:v>
                </c:pt>
                <c:pt idx="196">
                  <c:v>491.13</c:v>
                </c:pt>
                <c:pt idx="197">
                  <c:v>214.28</c:v>
                </c:pt>
                <c:pt idx="198">
                  <c:v>199.87</c:v>
                </c:pt>
                <c:pt idx="199">
                  <c:v>359.75</c:v>
                </c:pt>
                <c:pt idx="200">
                  <c:v>402.59</c:v>
                </c:pt>
                <c:pt idx="201">
                  <c:v>179.91</c:v>
                </c:pt>
                <c:pt idx="202">
                  <c:v>306.35</c:v>
                </c:pt>
                <c:pt idx="203">
                  <c:v>137.31</c:v>
                </c:pt>
                <c:pt idx="204">
                  <c:v>472.26</c:v>
                </c:pt>
                <c:pt idx="205">
                  <c:v>451.52</c:v>
                </c:pt>
                <c:pt idx="206">
                  <c:v>399</c:v>
                </c:pt>
                <c:pt idx="207">
                  <c:v>355.5</c:v>
                </c:pt>
                <c:pt idx="208">
                  <c:v>244.46</c:v>
                </c:pt>
                <c:pt idx="209">
                  <c:v>97.8</c:v>
                </c:pt>
                <c:pt idx="210">
                  <c:v>381.05</c:v>
                </c:pt>
                <c:pt idx="211">
                  <c:v>465.57</c:v>
                </c:pt>
                <c:pt idx="212">
                  <c:v>204.78</c:v>
                </c:pt>
                <c:pt idx="213">
                  <c:v>335.52</c:v>
                </c:pt>
                <c:pt idx="214">
                  <c:v>272.53</c:v>
                </c:pt>
                <c:pt idx="215">
                  <c:v>182.71</c:v>
                </c:pt>
                <c:pt idx="216">
                  <c:v>414.14</c:v>
                </c:pt>
                <c:pt idx="217">
                  <c:v>460.9</c:v>
                </c:pt>
                <c:pt idx="218">
                  <c:v>257.19</c:v>
                </c:pt>
                <c:pt idx="219">
                  <c:v>213.33</c:v>
                </c:pt>
                <c:pt idx="220">
                  <c:v>155.84</c:v>
                </c:pt>
                <c:pt idx="221">
                  <c:v>336.27</c:v>
                </c:pt>
                <c:pt idx="222">
                  <c:v>372.08</c:v>
                </c:pt>
                <c:pt idx="223">
                  <c:v>357.01</c:v>
                </c:pt>
                <c:pt idx="224">
                  <c:v>134.34</c:v>
                </c:pt>
                <c:pt idx="225">
                  <c:v>319.74</c:v>
                </c:pt>
                <c:pt idx="226">
                  <c:v>218.3</c:v>
                </c:pt>
                <c:pt idx="227">
                  <c:v>464.17</c:v>
                </c:pt>
                <c:pt idx="228">
                  <c:v>185.79</c:v>
                </c:pt>
                <c:pt idx="229">
                  <c:v>340.98</c:v>
                </c:pt>
                <c:pt idx="230">
                  <c:v>68.4</c:v>
                </c:pt>
                <c:pt idx="231">
                  <c:v>206.39</c:v>
                </c:pt>
                <c:pt idx="232">
                  <c:v>205.65</c:v>
                </c:pt>
                <c:pt idx="233">
                  <c:v>337.7</c:v>
                </c:pt>
                <c:pt idx="234">
                  <c:v>273.05</c:v>
                </c:pt>
                <c:pt idx="235">
                  <c:v>244.51</c:v>
                </c:pt>
                <c:pt idx="236">
                  <c:v>95.15</c:v>
                </c:pt>
                <c:pt idx="237">
                  <c:v>496.88</c:v>
                </c:pt>
                <c:pt idx="238">
                  <c:v>382.92</c:v>
                </c:pt>
                <c:pt idx="239">
                  <c:v>425.76</c:v>
                </c:pt>
                <c:pt idx="240">
                  <c:v>317.84</c:v>
                </c:pt>
                <c:pt idx="241">
                  <c:v>318.12</c:v>
                </c:pt>
                <c:pt idx="242">
                  <c:v>245.08</c:v>
                </c:pt>
                <c:pt idx="243">
                  <c:v>369.48</c:v>
                </c:pt>
                <c:pt idx="244">
                  <c:v>133.87</c:v>
                </c:pt>
                <c:pt idx="245">
                  <c:v>270.95</c:v>
                </c:pt>
                <c:pt idx="246">
                  <c:v>329.15</c:v>
                </c:pt>
                <c:pt idx="247">
                  <c:v>288.56</c:v>
                </c:pt>
                <c:pt idx="248">
                  <c:v>464.84</c:v>
                </c:pt>
                <c:pt idx="249">
                  <c:v>247.66</c:v>
                </c:pt>
                <c:pt idx="250">
                  <c:v>117.7</c:v>
                </c:pt>
                <c:pt idx="251">
                  <c:v>393.99</c:v>
                </c:pt>
                <c:pt idx="252">
                  <c:v>119.58</c:v>
                </c:pt>
                <c:pt idx="253">
                  <c:v>227.11</c:v>
                </c:pt>
                <c:pt idx="254">
                  <c:v>447.96</c:v>
                </c:pt>
                <c:pt idx="255">
                  <c:v>358.79</c:v>
                </c:pt>
                <c:pt idx="256">
                  <c:v>203.03</c:v>
                </c:pt>
                <c:pt idx="257">
                  <c:v>77.55</c:v>
                </c:pt>
                <c:pt idx="258">
                  <c:v>281.11</c:v>
                </c:pt>
                <c:pt idx="259">
                  <c:v>370.08</c:v>
                </c:pt>
                <c:pt idx="260">
                  <c:v>356.61</c:v>
                </c:pt>
                <c:pt idx="261">
                  <c:v>432.01</c:v>
                </c:pt>
                <c:pt idx="262">
                  <c:v>410.26</c:v>
                </c:pt>
                <c:pt idx="263">
                  <c:v>313.82</c:v>
                </c:pt>
                <c:pt idx="264">
                  <c:v>460.27</c:v>
                </c:pt>
                <c:pt idx="265">
                  <c:v>468.16</c:v>
                </c:pt>
                <c:pt idx="266">
                  <c:v>428.3</c:v>
                </c:pt>
                <c:pt idx="267">
                  <c:v>158.61</c:v>
                </c:pt>
                <c:pt idx="268">
                  <c:v>90.04</c:v>
                </c:pt>
                <c:pt idx="269">
                  <c:v>251.43</c:v>
                </c:pt>
                <c:pt idx="270">
                  <c:v>120.78</c:v>
                </c:pt>
                <c:pt idx="271">
                  <c:v>150.07</c:v>
                </c:pt>
                <c:pt idx="272">
                  <c:v>256.72</c:v>
                </c:pt>
                <c:pt idx="273">
                  <c:v>126.54</c:v>
                </c:pt>
                <c:pt idx="274">
                  <c:v>102.28</c:v>
                </c:pt>
                <c:pt idx="275">
                  <c:v>246.58</c:v>
                </c:pt>
                <c:pt idx="276">
                  <c:v>140.27</c:v>
                </c:pt>
                <c:pt idx="277">
                  <c:v>341.67</c:v>
                </c:pt>
                <c:pt idx="278">
                  <c:v>101.68</c:v>
                </c:pt>
                <c:pt idx="279">
                  <c:v>114.11</c:v>
                </c:pt>
                <c:pt idx="280">
                  <c:v>207.01</c:v>
                </c:pt>
                <c:pt idx="281">
                  <c:v>367.1</c:v>
                </c:pt>
                <c:pt idx="282">
                  <c:v>117.3</c:v>
                </c:pt>
                <c:pt idx="283">
                  <c:v>181.81</c:v>
                </c:pt>
                <c:pt idx="284">
                  <c:v>243.47</c:v>
                </c:pt>
                <c:pt idx="285">
                  <c:v>477.67</c:v>
                </c:pt>
                <c:pt idx="286">
                  <c:v>147.29</c:v>
                </c:pt>
                <c:pt idx="287">
                  <c:v>334.88</c:v>
                </c:pt>
                <c:pt idx="288">
                  <c:v>395.64</c:v>
                </c:pt>
                <c:pt idx="289">
                  <c:v>96.88</c:v>
                </c:pt>
                <c:pt idx="290">
                  <c:v>324.02</c:v>
                </c:pt>
                <c:pt idx="291">
                  <c:v>199.14</c:v>
                </c:pt>
                <c:pt idx="292">
                  <c:v>130.95</c:v>
                </c:pt>
                <c:pt idx="293">
                  <c:v>291.54</c:v>
                </c:pt>
                <c:pt idx="294">
                  <c:v>470.01</c:v>
                </c:pt>
                <c:pt idx="295">
                  <c:v>305.22</c:v>
                </c:pt>
                <c:pt idx="296">
                  <c:v>105.72</c:v>
                </c:pt>
                <c:pt idx="297">
                  <c:v>233.18</c:v>
                </c:pt>
                <c:pt idx="298">
                  <c:v>460.21</c:v>
                </c:pt>
                <c:pt idx="299">
                  <c:v>2.19</c:v>
                </c:pt>
                <c:pt idx="300">
                  <c:v>178.23</c:v>
                </c:pt>
                <c:pt idx="301">
                  <c:v>140.24</c:v>
                </c:pt>
                <c:pt idx="302">
                  <c:v>439.27</c:v>
                </c:pt>
                <c:pt idx="303">
                  <c:v>465.08</c:v>
                </c:pt>
                <c:pt idx="304">
                  <c:v>459.83</c:v>
                </c:pt>
                <c:pt idx="305">
                  <c:v>439.89</c:v>
                </c:pt>
                <c:pt idx="306">
                  <c:v>359.96</c:v>
                </c:pt>
                <c:pt idx="307">
                  <c:v>317.57</c:v>
                </c:pt>
                <c:pt idx="308">
                  <c:v>224.78</c:v>
                </c:pt>
                <c:pt idx="309">
                  <c:v>110.36</c:v>
                </c:pt>
                <c:pt idx="310">
                  <c:v>365.54</c:v>
                </c:pt>
                <c:pt idx="311">
                  <c:v>181.12</c:v>
                </c:pt>
                <c:pt idx="312">
                  <c:v>494.73</c:v>
                </c:pt>
                <c:pt idx="313">
                  <c:v>402.03</c:v>
                </c:pt>
                <c:pt idx="314">
                  <c:v>340.06</c:v>
                </c:pt>
                <c:pt idx="315">
                  <c:v>190.66</c:v>
                </c:pt>
                <c:pt idx="316">
                  <c:v>465.16</c:v>
                </c:pt>
                <c:pt idx="317">
                  <c:v>258.41</c:v>
                </c:pt>
                <c:pt idx="318">
                  <c:v>192.26</c:v>
                </c:pt>
                <c:pt idx="319">
                  <c:v>370.04</c:v>
                </c:pt>
                <c:pt idx="320">
                  <c:v>489.64</c:v>
                </c:pt>
                <c:pt idx="321">
                  <c:v>311.4</c:v>
                </c:pt>
                <c:pt idx="322">
                  <c:v>340.01</c:v>
                </c:pt>
                <c:pt idx="323">
                  <c:v>348.49</c:v>
                </c:pt>
                <c:pt idx="324">
                  <c:v>337.42</c:v>
                </c:pt>
                <c:pt idx="325">
                  <c:v>103.76</c:v>
                </c:pt>
                <c:pt idx="326">
                  <c:v>308.72</c:v>
                </c:pt>
                <c:pt idx="327">
                  <c:v>203</c:v>
                </c:pt>
                <c:pt idx="328">
                  <c:v>112.43</c:v>
                </c:pt>
                <c:pt idx="329">
                  <c:v>121.43</c:v>
                </c:pt>
                <c:pt idx="330">
                  <c:v>379.95</c:v>
                </c:pt>
                <c:pt idx="331">
                  <c:v>362.48</c:v>
                </c:pt>
                <c:pt idx="332">
                  <c:v>470.74</c:v>
                </c:pt>
                <c:pt idx="333">
                  <c:v>305.26</c:v>
                </c:pt>
                <c:pt idx="334">
                  <c:v>241.35</c:v>
                </c:pt>
                <c:pt idx="335">
                  <c:v>213.14</c:v>
                </c:pt>
                <c:pt idx="336">
                  <c:v>237.07</c:v>
                </c:pt>
                <c:pt idx="337">
                  <c:v>359.41</c:v>
                </c:pt>
                <c:pt idx="338">
                  <c:v>225.18</c:v>
                </c:pt>
                <c:pt idx="339">
                  <c:v>88.21</c:v>
                </c:pt>
                <c:pt idx="340">
                  <c:v>325.42</c:v>
                </c:pt>
                <c:pt idx="341">
                  <c:v>334.97</c:v>
                </c:pt>
                <c:pt idx="342">
                  <c:v>298.36</c:v>
                </c:pt>
                <c:pt idx="343">
                  <c:v>95.44</c:v>
                </c:pt>
                <c:pt idx="344">
                  <c:v>401.9</c:v>
                </c:pt>
                <c:pt idx="345">
                  <c:v>278.63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597774"/>
        <c:axId val="565231809"/>
      </c:scatterChart>
      <c:valAx>
        <c:axId val="30859777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5231809"/>
        <c:crosses val="autoZero"/>
        <c:crossBetween val="midCat"/>
      </c:valAx>
      <c:valAx>
        <c:axId val="56523180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5977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2d97a9-e15f-4ee0-ba64-89be41207d90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price vs sales relationship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444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{11.64,25.95,27.34,39.76,20.03,17.37,13.23,27.13,37.54,12.33,46.61,27.69,19.59,13.75,17.31,47.38,35.53,30.67,36.28,27.43,39.2,11.91,32.64,16.35,14.81,23.68,13.67,13.77,22.46,49.18,17.01,10.69,40.53,42.28,23.85,28.59,35.99,11.92,47.97,45.47,20.44,10.61,47.34,30.04,31.58,37.36,34.63,47.76,47.77,44.69,35.46,42.04,37.09,32.93,15.14,42.45,42.83,35.04,42.82,36.06,18.27,20.96,18.58,25.09,11.56,34.73,23.46,36.23,25.42,37.26,23.62,20.43,29.84,37.72,23.93,47.47,11.57,26.72,48.7,31.92,26.94,32.74,33.04,39.27,15.11,20,33.22,44.68,32.47,19.54,37.19,39.6,19.53,25.11,31.37,29.86,25.58,21.91,14,12.14,48.34,43.89,24.2,48.27,37.07,29.3,29.72,13.33,13.67,34.1,32.15,18.51,47.85,41.25,14.54,47.24,48.97,49.84,12.23,39.48,31.84,38.23,48.75,37.52,43.48,44.67,43.54,27.04,18.9,25.87,45.68,15.86,30.53,19.33,33.25,44.53,45.21,19.47,46.31,33.68,24.01,38.33,29.27,25.12,38.2,19.95,23.21,27.38,20.15,26.21,32.86,39.64,40.69,42.91,39.77,37.24,19.5,26.01,29.11,13.32,31.13,27.45,42.08,49.12,32.24,22.91,11.74,46.99,46.76,20.12,37.82,13.02,16.65,18.67,21.78,49.83,37.88,25.37,39.48,46.61,48.35,12.31,25.78,14.27,23.43,16.79,35.87,25.53,19.18,20.64,24.41,20.4,28.13,11.29,21.19,26.45,34.11,20.84,15.33,13.05,47.62,26.67,33.25,46.77,13.31,45.07,32.06,16.59,26.45,41.1,29.21,49.41,25.07,39.98,25.72,43.17,32.76,12.54,11.47,15.35,10.55,13.01,37.67,31.37,40,46.53,33.41,39.04,40.28,25.11,19.64,18.2,20.06,20.99,18.29,45.13,40.28,11.88,20.75,10.89,29.93,29.05,43.25,22.31,42.66,48.72,13.54,41.67,33.6,29.2,26.82,41.39,35.57,42.2,46.13,34.69,49.22,34.32,35.47,32.19,13.64,39.06,31.9,28.04,46.42,21.92,30.94,37.91,41.86,28.37,43.68,40.76,12.65,11.83,34.83,23.9,18.37,33.19,23.66,31.49,28.4,33.39,26.01,37.91,17.2,37.86,26.47,44.97,30.61,48.92,34.08,18.95,42.87,23.8,23.9,11.27,31.95,31.38,24.24,45.77,15.15,23.2,22.86,13.69,29.25,37.51,30.47,16.28,25.09,10.1,44.73,13.38,33.89,49.45,31.46,46.96,19.44,40.4,31.25,38.82,12.49,15.91,15.32,37.49,43.78,39.98,11.22,44.69,24.17,25.89,14.19,39.5,17.29,32.56,43.63,13.57,31.41,19.33,23.72,28.96,24.2,35.95,29.18,33.37,39.47,32.31}</c:f>
              <c:numCache>
                <c:formatCode>General</c:formatCode>
                <c:ptCount val="346"/>
                <c:pt idx="0">
                  <c:v>11.64</c:v>
                </c:pt>
                <c:pt idx="1">
                  <c:v>25.95</c:v>
                </c:pt>
                <c:pt idx="2">
                  <c:v>27.34</c:v>
                </c:pt>
                <c:pt idx="3">
                  <c:v>39.76</c:v>
                </c:pt>
                <c:pt idx="4">
                  <c:v>20.03</c:v>
                </c:pt>
                <c:pt idx="5">
                  <c:v>17.37</c:v>
                </c:pt>
                <c:pt idx="6">
                  <c:v>13.23</c:v>
                </c:pt>
                <c:pt idx="7">
                  <c:v>27.13</c:v>
                </c:pt>
                <c:pt idx="8">
                  <c:v>37.54</c:v>
                </c:pt>
                <c:pt idx="9">
                  <c:v>12.33</c:v>
                </c:pt>
                <c:pt idx="10">
                  <c:v>46.61</c:v>
                </c:pt>
                <c:pt idx="11">
                  <c:v>27.69</c:v>
                </c:pt>
                <c:pt idx="12">
                  <c:v>19.59</c:v>
                </c:pt>
                <c:pt idx="13">
                  <c:v>13.75</c:v>
                </c:pt>
                <c:pt idx="14">
                  <c:v>17.31</c:v>
                </c:pt>
                <c:pt idx="15">
                  <c:v>47.38</c:v>
                </c:pt>
                <c:pt idx="16">
                  <c:v>35.53</c:v>
                </c:pt>
                <c:pt idx="17">
                  <c:v>30.67</c:v>
                </c:pt>
                <c:pt idx="18">
                  <c:v>36.28</c:v>
                </c:pt>
                <c:pt idx="19">
                  <c:v>27.43</c:v>
                </c:pt>
                <c:pt idx="20">
                  <c:v>39.2</c:v>
                </c:pt>
                <c:pt idx="21">
                  <c:v>11.91</c:v>
                </c:pt>
                <c:pt idx="22">
                  <c:v>32.64</c:v>
                </c:pt>
                <c:pt idx="23">
                  <c:v>16.35</c:v>
                </c:pt>
                <c:pt idx="24">
                  <c:v>14.81</c:v>
                </c:pt>
                <c:pt idx="25">
                  <c:v>23.68</c:v>
                </c:pt>
                <c:pt idx="26">
                  <c:v>13.67</c:v>
                </c:pt>
                <c:pt idx="27">
                  <c:v>13.77</c:v>
                </c:pt>
                <c:pt idx="28">
                  <c:v>22.46</c:v>
                </c:pt>
                <c:pt idx="29">
                  <c:v>49.18</c:v>
                </c:pt>
                <c:pt idx="30">
                  <c:v>17.01</c:v>
                </c:pt>
                <c:pt idx="31">
                  <c:v>10.69</c:v>
                </c:pt>
                <c:pt idx="32">
                  <c:v>40.53</c:v>
                </c:pt>
                <c:pt idx="33">
                  <c:v>42.28</c:v>
                </c:pt>
                <c:pt idx="34">
                  <c:v>23.85</c:v>
                </c:pt>
                <c:pt idx="35">
                  <c:v>28.59</c:v>
                </c:pt>
                <c:pt idx="36">
                  <c:v>35.99</c:v>
                </c:pt>
                <c:pt idx="37">
                  <c:v>11.92</c:v>
                </c:pt>
                <c:pt idx="38">
                  <c:v>47.97</c:v>
                </c:pt>
                <c:pt idx="39">
                  <c:v>45.47</c:v>
                </c:pt>
                <c:pt idx="40">
                  <c:v>20.44</c:v>
                </c:pt>
                <c:pt idx="41">
                  <c:v>10.61</c:v>
                </c:pt>
                <c:pt idx="42">
                  <c:v>47.34</c:v>
                </c:pt>
                <c:pt idx="43">
                  <c:v>30.04</c:v>
                </c:pt>
                <c:pt idx="44">
                  <c:v>31.58</c:v>
                </c:pt>
                <c:pt idx="45">
                  <c:v>37.36</c:v>
                </c:pt>
                <c:pt idx="46">
                  <c:v>34.63</c:v>
                </c:pt>
                <c:pt idx="47">
                  <c:v>47.76</c:v>
                </c:pt>
                <c:pt idx="48">
                  <c:v>47.77</c:v>
                </c:pt>
                <c:pt idx="49">
                  <c:v>44.69</c:v>
                </c:pt>
                <c:pt idx="50">
                  <c:v>35.46</c:v>
                </c:pt>
                <c:pt idx="51">
                  <c:v>42.04</c:v>
                </c:pt>
                <c:pt idx="52">
                  <c:v>37.09</c:v>
                </c:pt>
                <c:pt idx="53">
                  <c:v>32.93</c:v>
                </c:pt>
                <c:pt idx="54">
                  <c:v>15.14</c:v>
                </c:pt>
                <c:pt idx="55">
                  <c:v>42.45</c:v>
                </c:pt>
                <c:pt idx="56">
                  <c:v>42.83</c:v>
                </c:pt>
                <c:pt idx="57">
                  <c:v>35.04</c:v>
                </c:pt>
                <c:pt idx="58">
                  <c:v>42.82</c:v>
                </c:pt>
                <c:pt idx="59">
                  <c:v>36.06</c:v>
                </c:pt>
                <c:pt idx="60">
                  <c:v>18.27</c:v>
                </c:pt>
                <c:pt idx="61">
                  <c:v>20.96</c:v>
                </c:pt>
                <c:pt idx="62">
                  <c:v>18.58</c:v>
                </c:pt>
                <c:pt idx="63">
                  <c:v>25.09</c:v>
                </c:pt>
                <c:pt idx="64">
                  <c:v>11.56</c:v>
                </c:pt>
                <c:pt idx="65">
                  <c:v>34.73</c:v>
                </c:pt>
                <c:pt idx="66">
                  <c:v>23.46</c:v>
                </c:pt>
                <c:pt idx="67">
                  <c:v>36.23</c:v>
                </c:pt>
                <c:pt idx="68">
                  <c:v>25.42</c:v>
                </c:pt>
                <c:pt idx="69">
                  <c:v>37.26</c:v>
                </c:pt>
                <c:pt idx="70">
                  <c:v>23.62</c:v>
                </c:pt>
                <c:pt idx="71">
                  <c:v>20.43</c:v>
                </c:pt>
                <c:pt idx="72">
                  <c:v>29.84</c:v>
                </c:pt>
                <c:pt idx="73">
                  <c:v>37.72</c:v>
                </c:pt>
                <c:pt idx="74">
                  <c:v>23.93</c:v>
                </c:pt>
                <c:pt idx="75">
                  <c:v>47.47</c:v>
                </c:pt>
                <c:pt idx="76">
                  <c:v>11.57</c:v>
                </c:pt>
                <c:pt idx="77">
                  <c:v>26.72</c:v>
                </c:pt>
                <c:pt idx="78">
                  <c:v>48.7</c:v>
                </c:pt>
                <c:pt idx="79">
                  <c:v>31.92</c:v>
                </c:pt>
                <c:pt idx="80">
                  <c:v>26.94</c:v>
                </c:pt>
                <c:pt idx="81">
                  <c:v>32.74</c:v>
                </c:pt>
                <c:pt idx="82">
                  <c:v>33.04</c:v>
                </c:pt>
                <c:pt idx="83">
                  <c:v>39.27</c:v>
                </c:pt>
                <c:pt idx="84">
                  <c:v>15.11</c:v>
                </c:pt>
                <c:pt idx="85">
                  <c:v>20</c:v>
                </c:pt>
                <c:pt idx="86">
                  <c:v>33.22</c:v>
                </c:pt>
                <c:pt idx="87">
                  <c:v>44.68</c:v>
                </c:pt>
                <c:pt idx="88">
                  <c:v>32.47</c:v>
                </c:pt>
                <c:pt idx="89">
                  <c:v>19.54</c:v>
                </c:pt>
                <c:pt idx="90">
                  <c:v>37.19</c:v>
                </c:pt>
                <c:pt idx="91">
                  <c:v>39.6</c:v>
                </c:pt>
                <c:pt idx="92">
                  <c:v>19.53</c:v>
                </c:pt>
                <c:pt idx="93">
                  <c:v>25.11</c:v>
                </c:pt>
                <c:pt idx="94">
                  <c:v>31.37</c:v>
                </c:pt>
                <c:pt idx="95">
                  <c:v>29.86</c:v>
                </c:pt>
                <c:pt idx="96">
                  <c:v>25.58</c:v>
                </c:pt>
                <c:pt idx="97">
                  <c:v>21.91</c:v>
                </c:pt>
                <c:pt idx="98">
                  <c:v>14</c:v>
                </c:pt>
                <c:pt idx="99">
                  <c:v>12.14</c:v>
                </c:pt>
                <c:pt idx="100">
                  <c:v>48.34</c:v>
                </c:pt>
                <c:pt idx="101">
                  <c:v>43.89</c:v>
                </c:pt>
                <c:pt idx="102">
                  <c:v>24.2</c:v>
                </c:pt>
                <c:pt idx="103">
                  <c:v>48.27</c:v>
                </c:pt>
                <c:pt idx="104">
                  <c:v>37.07</c:v>
                </c:pt>
                <c:pt idx="105">
                  <c:v>29.3</c:v>
                </c:pt>
                <c:pt idx="106">
                  <c:v>29.72</c:v>
                </c:pt>
                <c:pt idx="107">
                  <c:v>13.33</c:v>
                </c:pt>
                <c:pt idx="108">
                  <c:v>13.67</c:v>
                </c:pt>
                <c:pt idx="109">
                  <c:v>34.1</c:v>
                </c:pt>
                <c:pt idx="110">
                  <c:v>32.15</c:v>
                </c:pt>
                <c:pt idx="111">
                  <c:v>18.51</c:v>
                </c:pt>
                <c:pt idx="112">
                  <c:v>47.85</c:v>
                </c:pt>
                <c:pt idx="113">
                  <c:v>41.25</c:v>
                </c:pt>
                <c:pt idx="114">
                  <c:v>14.54</c:v>
                </c:pt>
                <c:pt idx="115">
                  <c:v>47.24</c:v>
                </c:pt>
                <c:pt idx="116">
                  <c:v>48.97</c:v>
                </c:pt>
                <c:pt idx="117">
                  <c:v>49.84</c:v>
                </c:pt>
                <c:pt idx="118">
                  <c:v>12.23</c:v>
                </c:pt>
                <c:pt idx="119">
                  <c:v>39.48</c:v>
                </c:pt>
                <c:pt idx="120">
                  <c:v>31.84</c:v>
                </c:pt>
                <c:pt idx="121">
                  <c:v>38.23</c:v>
                </c:pt>
                <c:pt idx="122">
                  <c:v>48.75</c:v>
                </c:pt>
                <c:pt idx="123">
                  <c:v>37.52</c:v>
                </c:pt>
                <c:pt idx="124">
                  <c:v>43.48</c:v>
                </c:pt>
                <c:pt idx="125">
                  <c:v>44.67</c:v>
                </c:pt>
                <c:pt idx="126">
                  <c:v>43.54</c:v>
                </c:pt>
                <c:pt idx="127">
                  <c:v>27.04</c:v>
                </c:pt>
                <c:pt idx="128">
                  <c:v>18.9</c:v>
                </c:pt>
                <c:pt idx="129">
                  <c:v>25.87</c:v>
                </c:pt>
                <c:pt idx="130">
                  <c:v>45.68</c:v>
                </c:pt>
                <c:pt idx="131">
                  <c:v>15.86</c:v>
                </c:pt>
                <c:pt idx="132">
                  <c:v>30.53</c:v>
                </c:pt>
                <c:pt idx="133">
                  <c:v>19.33</c:v>
                </c:pt>
                <c:pt idx="134">
                  <c:v>33.25</c:v>
                </c:pt>
                <c:pt idx="135">
                  <c:v>44.53</c:v>
                </c:pt>
                <c:pt idx="136">
                  <c:v>45.21</c:v>
                </c:pt>
                <c:pt idx="137">
                  <c:v>19.47</c:v>
                </c:pt>
                <c:pt idx="138">
                  <c:v>46.31</c:v>
                </c:pt>
                <c:pt idx="139">
                  <c:v>33.68</c:v>
                </c:pt>
                <c:pt idx="140">
                  <c:v>24.01</c:v>
                </c:pt>
                <c:pt idx="141">
                  <c:v>38.33</c:v>
                </c:pt>
                <c:pt idx="142">
                  <c:v>29.27</c:v>
                </c:pt>
                <c:pt idx="143">
                  <c:v>25.12</c:v>
                </c:pt>
                <c:pt idx="144">
                  <c:v>38.2</c:v>
                </c:pt>
                <c:pt idx="145">
                  <c:v>19.95</c:v>
                </c:pt>
                <c:pt idx="146">
                  <c:v>23.21</c:v>
                </c:pt>
                <c:pt idx="147">
                  <c:v>27.38</c:v>
                </c:pt>
                <c:pt idx="148">
                  <c:v>20.15</c:v>
                </c:pt>
                <c:pt idx="149">
                  <c:v>26.21</c:v>
                </c:pt>
                <c:pt idx="150">
                  <c:v>32.86</c:v>
                </c:pt>
                <c:pt idx="151">
                  <c:v>39.64</c:v>
                </c:pt>
                <c:pt idx="152">
                  <c:v>40.69</c:v>
                </c:pt>
                <c:pt idx="153">
                  <c:v>42.91</c:v>
                </c:pt>
                <c:pt idx="154">
                  <c:v>39.77</c:v>
                </c:pt>
                <c:pt idx="155">
                  <c:v>37.24</c:v>
                </c:pt>
                <c:pt idx="156">
                  <c:v>19.5</c:v>
                </c:pt>
                <c:pt idx="157">
                  <c:v>26.01</c:v>
                </c:pt>
                <c:pt idx="158">
                  <c:v>29.11</c:v>
                </c:pt>
                <c:pt idx="159">
                  <c:v>13.32</c:v>
                </c:pt>
                <c:pt idx="160">
                  <c:v>31.13</c:v>
                </c:pt>
                <c:pt idx="161">
                  <c:v>27.45</c:v>
                </c:pt>
                <c:pt idx="162">
                  <c:v>42.08</c:v>
                </c:pt>
                <c:pt idx="163">
                  <c:v>49.12</c:v>
                </c:pt>
                <c:pt idx="164">
                  <c:v>32.24</c:v>
                </c:pt>
                <c:pt idx="165">
                  <c:v>22.91</c:v>
                </c:pt>
                <c:pt idx="166">
                  <c:v>11.74</c:v>
                </c:pt>
                <c:pt idx="167">
                  <c:v>46.99</c:v>
                </c:pt>
                <c:pt idx="168">
                  <c:v>46.76</c:v>
                </c:pt>
                <c:pt idx="169">
                  <c:v>20.12</c:v>
                </c:pt>
                <c:pt idx="170">
                  <c:v>37.82</c:v>
                </c:pt>
                <c:pt idx="171">
                  <c:v>13.02</c:v>
                </c:pt>
                <c:pt idx="172">
                  <c:v>16.65</c:v>
                </c:pt>
                <c:pt idx="173">
                  <c:v>18.67</c:v>
                </c:pt>
                <c:pt idx="174">
                  <c:v>21.78</c:v>
                </c:pt>
                <c:pt idx="175">
                  <c:v>49.83</c:v>
                </c:pt>
                <c:pt idx="176">
                  <c:v>37.88</c:v>
                </c:pt>
                <c:pt idx="177">
                  <c:v>25.37</c:v>
                </c:pt>
                <c:pt idx="178">
                  <c:v>39.48</c:v>
                </c:pt>
                <c:pt idx="179">
                  <c:v>46.61</c:v>
                </c:pt>
                <c:pt idx="180">
                  <c:v>48.35</c:v>
                </c:pt>
                <c:pt idx="181">
                  <c:v>12.31</c:v>
                </c:pt>
                <c:pt idx="182">
                  <c:v>25.78</c:v>
                </c:pt>
                <c:pt idx="183">
                  <c:v>14.27</c:v>
                </c:pt>
                <c:pt idx="184">
                  <c:v>23.43</c:v>
                </c:pt>
                <c:pt idx="185">
                  <c:v>16.79</c:v>
                </c:pt>
                <c:pt idx="186">
                  <c:v>35.87</c:v>
                </c:pt>
                <c:pt idx="187">
                  <c:v>25.53</c:v>
                </c:pt>
                <c:pt idx="188">
                  <c:v>19.18</c:v>
                </c:pt>
                <c:pt idx="189">
                  <c:v>20.64</c:v>
                </c:pt>
                <c:pt idx="190">
                  <c:v>24.41</c:v>
                </c:pt>
                <c:pt idx="191">
                  <c:v>20.4</c:v>
                </c:pt>
                <c:pt idx="192">
                  <c:v>28.13</c:v>
                </c:pt>
                <c:pt idx="193">
                  <c:v>11.29</c:v>
                </c:pt>
                <c:pt idx="194">
                  <c:v>21.19</c:v>
                </c:pt>
                <c:pt idx="195">
                  <c:v>26.45</c:v>
                </c:pt>
                <c:pt idx="196">
                  <c:v>34.11</c:v>
                </c:pt>
                <c:pt idx="197">
                  <c:v>20.84</c:v>
                </c:pt>
                <c:pt idx="198">
                  <c:v>15.33</c:v>
                </c:pt>
                <c:pt idx="199">
                  <c:v>13.05</c:v>
                </c:pt>
                <c:pt idx="200">
                  <c:v>47.62</c:v>
                </c:pt>
                <c:pt idx="201">
                  <c:v>26.67</c:v>
                </c:pt>
                <c:pt idx="202">
                  <c:v>33.25</c:v>
                </c:pt>
                <c:pt idx="203">
                  <c:v>46.77</c:v>
                </c:pt>
                <c:pt idx="204">
                  <c:v>13.31</c:v>
                </c:pt>
                <c:pt idx="205">
                  <c:v>45.07</c:v>
                </c:pt>
                <c:pt idx="206">
                  <c:v>32.06</c:v>
                </c:pt>
                <c:pt idx="207">
                  <c:v>16.59</c:v>
                </c:pt>
                <c:pt idx="208">
                  <c:v>26.45</c:v>
                </c:pt>
                <c:pt idx="209">
                  <c:v>41.1</c:v>
                </c:pt>
                <c:pt idx="210">
                  <c:v>29.21</c:v>
                </c:pt>
                <c:pt idx="211">
                  <c:v>49.41</c:v>
                </c:pt>
                <c:pt idx="212">
                  <c:v>25.07</c:v>
                </c:pt>
                <c:pt idx="213">
                  <c:v>39.98</c:v>
                </c:pt>
                <c:pt idx="214">
                  <c:v>25.72</c:v>
                </c:pt>
                <c:pt idx="215">
                  <c:v>43.17</c:v>
                </c:pt>
                <c:pt idx="216">
                  <c:v>32.76</c:v>
                </c:pt>
                <c:pt idx="217">
                  <c:v>12.54</c:v>
                </c:pt>
                <c:pt idx="218">
                  <c:v>11.47</c:v>
                </c:pt>
                <c:pt idx="219">
                  <c:v>15.35</c:v>
                </c:pt>
                <c:pt idx="220">
                  <c:v>10.55</c:v>
                </c:pt>
                <c:pt idx="221">
                  <c:v>13.01</c:v>
                </c:pt>
                <c:pt idx="222">
                  <c:v>37.67</c:v>
                </c:pt>
                <c:pt idx="223">
                  <c:v>31.37</c:v>
                </c:pt>
                <c:pt idx="224">
                  <c:v>40</c:v>
                </c:pt>
                <c:pt idx="225">
                  <c:v>46.53</c:v>
                </c:pt>
                <c:pt idx="226">
                  <c:v>33.41</c:v>
                </c:pt>
                <c:pt idx="227">
                  <c:v>39.04</c:v>
                </c:pt>
                <c:pt idx="228">
                  <c:v>40.28</c:v>
                </c:pt>
                <c:pt idx="229">
                  <c:v>25.11</c:v>
                </c:pt>
                <c:pt idx="230">
                  <c:v>19.64</c:v>
                </c:pt>
                <c:pt idx="231">
                  <c:v>18.2</c:v>
                </c:pt>
                <c:pt idx="232">
                  <c:v>20.06</c:v>
                </c:pt>
                <c:pt idx="233">
                  <c:v>20.99</c:v>
                </c:pt>
                <c:pt idx="234">
                  <c:v>18.29</c:v>
                </c:pt>
                <c:pt idx="235">
                  <c:v>45.13</c:v>
                </c:pt>
                <c:pt idx="236">
                  <c:v>40.28</c:v>
                </c:pt>
                <c:pt idx="237">
                  <c:v>11.88</c:v>
                </c:pt>
                <c:pt idx="238">
                  <c:v>20.75</c:v>
                </c:pt>
                <c:pt idx="239">
                  <c:v>10.89</c:v>
                </c:pt>
                <c:pt idx="240">
                  <c:v>29.93</c:v>
                </c:pt>
                <c:pt idx="241">
                  <c:v>29.05</c:v>
                </c:pt>
                <c:pt idx="242">
                  <c:v>43.25</c:v>
                </c:pt>
                <c:pt idx="243">
                  <c:v>22.31</c:v>
                </c:pt>
                <c:pt idx="244">
                  <c:v>42.66</c:v>
                </c:pt>
                <c:pt idx="245">
                  <c:v>48.72</c:v>
                </c:pt>
                <c:pt idx="246">
                  <c:v>13.54</c:v>
                </c:pt>
                <c:pt idx="247">
                  <c:v>41.67</c:v>
                </c:pt>
                <c:pt idx="248">
                  <c:v>33.6</c:v>
                </c:pt>
                <c:pt idx="249">
                  <c:v>29.2</c:v>
                </c:pt>
                <c:pt idx="250">
                  <c:v>26.82</c:v>
                </c:pt>
                <c:pt idx="251">
                  <c:v>41.39</c:v>
                </c:pt>
                <c:pt idx="252">
                  <c:v>35.57</c:v>
                </c:pt>
                <c:pt idx="253">
                  <c:v>42.2</c:v>
                </c:pt>
                <c:pt idx="254">
                  <c:v>46.13</c:v>
                </c:pt>
                <c:pt idx="255">
                  <c:v>34.69</c:v>
                </c:pt>
                <c:pt idx="256">
                  <c:v>49.22</c:v>
                </c:pt>
                <c:pt idx="257">
                  <c:v>34.32</c:v>
                </c:pt>
                <c:pt idx="258">
                  <c:v>35.47</c:v>
                </c:pt>
                <c:pt idx="259">
                  <c:v>32.19</c:v>
                </c:pt>
                <c:pt idx="260">
                  <c:v>13.64</c:v>
                </c:pt>
                <c:pt idx="261">
                  <c:v>39.06</c:v>
                </c:pt>
                <c:pt idx="262">
                  <c:v>31.9</c:v>
                </c:pt>
                <c:pt idx="263">
                  <c:v>28.04</c:v>
                </c:pt>
                <c:pt idx="264">
                  <c:v>46.42</c:v>
                </c:pt>
                <c:pt idx="265">
                  <c:v>21.92</c:v>
                </c:pt>
                <c:pt idx="266">
                  <c:v>30.94</c:v>
                </c:pt>
                <c:pt idx="267">
                  <c:v>37.91</c:v>
                </c:pt>
                <c:pt idx="268">
                  <c:v>41.86</c:v>
                </c:pt>
                <c:pt idx="269">
                  <c:v>28.37</c:v>
                </c:pt>
                <c:pt idx="270">
                  <c:v>43.68</c:v>
                </c:pt>
                <c:pt idx="271">
                  <c:v>40.76</c:v>
                </c:pt>
                <c:pt idx="272">
                  <c:v>12.65</c:v>
                </c:pt>
                <c:pt idx="273">
                  <c:v>11.83</c:v>
                </c:pt>
                <c:pt idx="274">
                  <c:v>34.83</c:v>
                </c:pt>
                <c:pt idx="275">
                  <c:v>23.9</c:v>
                </c:pt>
                <c:pt idx="276">
                  <c:v>18.37</c:v>
                </c:pt>
                <c:pt idx="277">
                  <c:v>33.19</c:v>
                </c:pt>
                <c:pt idx="278">
                  <c:v>23.66</c:v>
                </c:pt>
                <c:pt idx="279">
                  <c:v>31.49</c:v>
                </c:pt>
                <c:pt idx="280">
                  <c:v>28.4</c:v>
                </c:pt>
                <c:pt idx="281">
                  <c:v>33.39</c:v>
                </c:pt>
                <c:pt idx="282">
                  <c:v>26.01</c:v>
                </c:pt>
                <c:pt idx="283">
                  <c:v>37.91</c:v>
                </c:pt>
                <c:pt idx="284">
                  <c:v>17.2</c:v>
                </c:pt>
                <c:pt idx="285">
                  <c:v>37.86</c:v>
                </c:pt>
                <c:pt idx="286">
                  <c:v>26.47</c:v>
                </c:pt>
                <c:pt idx="287">
                  <c:v>44.97</c:v>
                </c:pt>
                <c:pt idx="288">
                  <c:v>30.61</c:v>
                </c:pt>
                <c:pt idx="289">
                  <c:v>48.92</c:v>
                </c:pt>
                <c:pt idx="290">
                  <c:v>34.08</c:v>
                </c:pt>
                <c:pt idx="291">
                  <c:v>18.95</c:v>
                </c:pt>
                <c:pt idx="292">
                  <c:v>42.87</c:v>
                </c:pt>
                <c:pt idx="293">
                  <c:v>23.8</c:v>
                </c:pt>
                <c:pt idx="294">
                  <c:v>23.9</c:v>
                </c:pt>
                <c:pt idx="295">
                  <c:v>11.27</c:v>
                </c:pt>
                <c:pt idx="296">
                  <c:v>31.95</c:v>
                </c:pt>
                <c:pt idx="297">
                  <c:v>31.38</c:v>
                </c:pt>
                <c:pt idx="298">
                  <c:v>24.24</c:v>
                </c:pt>
                <c:pt idx="299">
                  <c:v>45.77</c:v>
                </c:pt>
                <c:pt idx="300">
                  <c:v>15.15</c:v>
                </c:pt>
                <c:pt idx="301">
                  <c:v>23.2</c:v>
                </c:pt>
                <c:pt idx="302">
                  <c:v>22.86</c:v>
                </c:pt>
                <c:pt idx="303">
                  <c:v>13.69</c:v>
                </c:pt>
                <c:pt idx="304">
                  <c:v>29.25</c:v>
                </c:pt>
                <c:pt idx="305">
                  <c:v>37.51</c:v>
                </c:pt>
                <c:pt idx="306">
                  <c:v>30.47</c:v>
                </c:pt>
                <c:pt idx="307">
                  <c:v>16.28</c:v>
                </c:pt>
                <c:pt idx="308">
                  <c:v>25.09</c:v>
                </c:pt>
                <c:pt idx="309">
                  <c:v>10.1</c:v>
                </c:pt>
                <c:pt idx="310">
                  <c:v>44.73</c:v>
                </c:pt>
                <c:pt idx="311">
                  <c:v>13.38</c:v>
                </c:pt>
                <c:pt idx="312">
                  <c:v>33.89</c:v>
                </c:pt>
                <c:pt idx="313">
                  <c:v>49.45</c:v>
                </c:pt>
                <c:pt idx="314">
                  <c:v>31.46</c:v>
                </c:pt>
                <c:pt idx="315">
                  <c:v>46.96</c:v>
                </c:pt>
                <c:pt idx="316">
                  <c:v>19.44</c:v>
                </c:pt>
                <c:pt idx="317">
                  <c:v>40.4</c:v>
                </c:pt>
                <c:pt idx="318">
                  <c:v>31.25</c:v>
                </c:pt>
                <c:pt idx="319">
                  <c:v>38.82</c:v>
                </c:pt>
                <c:pt idx="320">
                  <c:v>12.49</c:v>
                </c:pt>
                <c:pt idx="321">
                  <c:v>15.91</c:v>
                </c:pt>
                <c:pt idx="322">
                  <c:v>15.32</c:v>
                </c:pt>
                <c:pt idx="323">
                  <c:v>37.49</c:v>
                </c:pt>
                <c:pt idx="324">
                  <c:v>43.78</c:v>
                </c:pt>
                <c:pt idx="325">
                  <c:v>39.98</c:v>
                </c:pt>
                <c:pt idx="326">
                  <c:v>11.22</c:v>
                </c:pt>
                <c:pt idx="327">
                  <c:v>44.69</c:v>
                </c:pt>
                <c:pt idx="328">
                  <c:v>24.17</c:v>
                </c:pt>
                <c:pt idx="329">
                  <c:v>25.89</c:v>
                </c:pt>
                <c:pt idx="330">
                  <c:v>14.19</c:v>
                </c:pt>
                <c:pt idx="331">
                  <c:v>39.5</c:v>
                </c:pt>
                <c:pt idx="332">
                  <c:v>17.29</c:v>
                </c:pt>
                <c:pt idx="333">
                  <c:v>32.56</c:v>
                </c:pt>
                <c:pt idx="334">
                  <c:v>43.63</c:v>
                </c:pt>
                <c:pt idx="335">
                  <c:v>13.57</c:v>
                </c:pt>
                <c:pt idx="336">
                  <c:v>31.41</c:v>
                </c:pt>
                <c:pt idx="337">
                  <c:v>19.33</c:v>
                </c:pt>
                <c:pt idx="338">
                  <c:v>23.72</c:v>
                </c:pt>
                <c:pt idx="339">
                  <c:v>28.96</c:v>
                </c:pt>
                <c:pt idx="340">
                  <c:v>24.2</c:v>
                </c:pt>
                <c:pt idx="341">
                  <c:v>35.95</c:v>
                </c:pt>
                <c:pt idx="342">
                  <c:v>29.18</c:v>
                </c:pt>
                <c:pt idx="343">
                  <c:v>33.37</c:v>
                </c:pt>
                <c:pt idx="344">
                  <c:v>39.47</c:v>
                </c:pt>
                <c:pt idx="345">
                  <c:v>32.31</c:v>
                </c:pt>
              </c:numCache>
            </c:numRef>
          </c:xVal>
          <c:yVal>
            <c:numRef>
              <c:f>{416.07,91.93,255.73,341.12,488.17,159.28,77.01,430.84,179.51,386.66,295.13,399.09,152.33,276.32,300.81,354.32,500.55,203.91,432.61,206.38,195.63,90.89,200.3,245.92,315.35,184.18,436.6,131.87,106.68,258.72,313.76,541.61,300.76,536.67,480.94,437.08,190.6,446.77,367.07,333.42,427.54,139.38,450.71,233.14,151.31,267.58,448.95,187.49,102.9,251.59,431.08,387.72,351.41,102.71,313.18,134.26,422.09,113.76,458.18,332.15,502.9,380.78,493.44,510.08,83.24,256.89,343.45,397.37,480.43,471.84,442.3,339.03,188.38,67.53,503.24,190.84,373.68,162.25,167.8,323.56,385.39,389.39,85.12,302.58,273.44,430.34,196.41,423.77,484.28,180.29,408.41,201.79,566.35,220.78,501.4,293.41,461.19,232.12,122.5,469.92,71.34,410.19,399.13,248.96,69.91,309.49,389.22,457.5,425.44,141.66,446.54,96.24,160.1,431.65,493.13,327.06,328.38,140.37,451.41,353.02,411.32,159.06,198.66,285.47,116.92,396.6,204.83,354.43,213.62,246.49,323.95,140.23,348.5,432.04,143.52,371.92,325.84,461.85,489.76,383.87,315.1,276.85,274.87,91.44,135.84,458.34,114.66,259.34,257.38,321.19,110.74,353.01,145.03,233.62,453.31,440.11,138.39,302.19,138.96,309.6,33.97,468.13,347.01,399.31,383.28,318.39,362.95,130.24,352.46,377.05,257.68,244.47,77.64,339.92,524.74,275.9,133.28,472.62,218.74,450.16,64.3,441.73,166.79,363.36,493.88,298.57,168.18,116.09,226.87,457.48,417.17,179.37,498.1,252.1,151.12,153.83,491.13,214.28,199.87,359.75,402.59,179.91,306.35,137.31,472.26,451.52,399,355.5,244.46,97.8,381.05,465.57,204.78,335.52,272.53,182.71,414.14,460.9,257.19,213.33,155.84,336.27,372.08,357.01,134.34,319.74,218.3,464.17,185.79,340.98,68.4,206.39,205.65,337.7,273.05,244.51,95.15,496.88,382.92,425.76,317.84,318.12,245.08,369.48,133.87,270.95,329.15,288.56,464.84,247.66,117.7,393.99,119.58,227.11,447.96,358.79,203.03,77.55,281.11,370.08,356.61,432.01,410.26,313.82,460.27,468.16,428.3,158.61,90.04,251.43,120.78,150.07,256.72,126.54,102.28,246.58,140.27,341.67,101.68,114.11,207.01,367.1,117.3,181.81,243.47,477.67,147.29,334.88,395.64,96.88,324.02,199.14,130.95,291.54,470.01,305.22,105.72,233.18,460.21,2.19,178.23,140.24,439.27,465.08,459.83,439.89,359.96,317.57,224.78,110.36,365.54,181.12,494.73,402.03,340.06,190.66,465.16,258.41,192.26,370.04,489.64,311.4,340.01,348.49,337.42,103.76,308.72,203,112.43,121.43,379.95,362.48,470.74,305.26,241.35,213.14,237.07,359.41,225.18,88.21,325.42,334.97,298.36,95.44,401.9,278.63}</c:f>
              <c:numCache>
                <c:formatCode>General</c:formatCode>
                <c:ptCount val="346"/>
                <c:pt idx="0">
                  <c:v>416.07</c:v>
                </c:pt>
                <c:pt idx="1">
                  <c:v>91.93</c:v>
                </c:pt>
                <c:pt idx="2">
                  <c:v>255.73</c:v>
                </c:pt>
                <c:pt idx="3">
                  <c:v>341.12</c:v>
                </c:pt>
                <c:pt idx="4">
                  <c:v>488.17</c:v>
                </c:pt>
                <c:pt idx="5">
                  <c:v>159.28</c:v>
                </c:pt>
                <c:pt idx="6">
                  <c:v>77.01</c:v>
                </c:pt>
                <c:pt idx="7">
                  <c:v>430.84</c:v>
                </c:pt>
                <c:pt idx="8">
                  <c:v>179.51</c:v>
                </c:pt>
                <c:pt idx="9">
                  <c:v>386.66</c:v>
                </c:pt>
                <c:pt idx="10">
                  <c:v>295.13</c:v>
                </c:pt>
                <c:pt idx="11">
                  <c:v>399.09</c:v>
                </c:pt>
                <c:pt idx="12">
                  <c:v>152.33</c:v>
                </c:pt>
                <c:pt idx="13">
                  <c:v>276.32</c:v>
                </c:pt>
                <c:pt idx="14">
                  <c:v>300.81</c:v>
                </c:pt>
                <c:pt idx="15">
                  <c:v>354.32</c:v>
                </c:pt>
                <c:pt idx="16">
                  <c:v>500.55</c:v>
                </c:pt>
                <c:pt idx="17">
                  <c:v>203.91</c:v>
                </c:pt>
                <c:pt idx="18">
                  <c:v>432.61</c:v>
                </c:pt>
                <c:pt idx="19">
                  <c:v>206.38</c:v>
                </c:pt>
                <c:pt idx="20">
                  <c:v>195.63</c:v>
                </c:pt>
                <c:pt idx="21">
                  <c:v>90.89</c:v>
                </c:pt>
                <c:pt idx="22">
                  <c:v>200.3</c:v>
                </c:pt>
                <c:pt idx="23">
                  <c:v>245.92</c:v>
                </c:pt>
                <c:pt idx="24">
                  <c:v>315.35</c:v>
                </c:pt>
                <c:pt idx="25">
                  <c:v>184.18</c:v>
                </c:pt>
                <c:pt idx="26">
                  <c:v>436.6</c:v>
                </c:pt>
                <c:pt idx="27">
                  <c:v>131.87</c:v>
                </c:pt>
                <c:pt idx="28">
                  <c:v>106.68</c:v>
                </c:pt>
                <c:pt idx="29">
                  <c:v>258.72</c:v>
                </c:pt>
                <c:pt idx="30">
                  <c:v>313.76</c:v>
                </c:pt>
                <c:pt idx="31">
                  <c:v>541.61</c:v>
                </c:pt>
                <c:pt idx="32">
                  <c:v>300.76</c:v>
                </c:pt>
                <c:pt idx="33">
                  <c:v>536.67</c:v>
                </c:pt>
                <c:pt idx="34">
                  <c:v>480.94</c:v>
                </c:pt>
                <c:pt idx="35">
                  <c:v>437.08</c:v>
                </c:pt>
                <c:pt idx="36">
                  <c:v>190.6</c:v>
                </c:pt>
                <c:pt idx="37">
                  <c:v>446.77</c:v>
                </c:pt>
                <c:pt idx="38">
                  <c:v>367.07</c:v>
                </c:pt>
                <c:pt idx="39">
                  <c:v>333.42</c:v>
                </c:pt>
                <c:pt idx="40">
                  <c:v>427.54</c:v>
                </c:pt>
                <c:pt idx="41">
                  <c:v>139.38</c:v>
                </c:pt>
                <c:pt idx="42">
                  <c:v>450.71</c:v>
                </c:pt>
                <c:pt idx="43">
                  <c:v>233.14</c:v>
                </c:pt>
                <c:pt idx="44">
                  <c:v>151.31</c:v>
                </c:pt>
                <c:pt idx="45">
                  <c:v>267.58</c:v>
                </c:pt>
                <c:pt idx="46">
                  <c:v>448.95</c:v>
                </c:pt>
                <c:pt idx="47">
                  <c:v>187.49</c:v>
                </c:pt>
                <c:pt idx="48">
                  <c:v>102.9</c:v>
                </c:pt>
                <c:pt idx="49">
                  <c:v>251.59</c:v>
                </c:pt>
                <c:pt idx="50">
                  <c:v>431.08</c:v>
                </c:pt>
                <c:pt idx="51">
                  <c:v>387.72</c:v>
                </c:pt>
                <c:pt idx="52">
                  <c:v>351.41</c:v>
                </c:pt>
                <c:pt idx="53">
                  <c:v>102.71</c:v>
                </c:pt>
                <c:pt idx="54">
                  <c:v>313.18</c:v>
                </c:pt>
                <c:pt idx="55">
                  <c:v>134.26</c:v>
                </c:pt>
                <c:pt idx="56">
                  <c:v>422.09</c:v>
                </c:pt>
                <c:pt idx="57">
                  <c:v>113.76</c:v>
                </c:pt>
                <c:pt idx="58">
                  <c:v>458.18</c:v>
                </c:pt>
                <c:pt idx="59">
                  <c:v>332.15</c:v>
                </c:pt>
                <c:pt idx="60">
                  <c:v>502.9</c:v>
                </c:pt>
                <c:pt idx="61">
                  <c:v>380.78</c:v>
                </c:pt>
                <c:pt idx="62">
                  <c:v>493.44</c:v>
                </c:pt>
                <c:pt idx="63">
                  <c:v>510.08</c:v>
                </c:pt>
                <c:pt idx="64">
                  <c:v>83.24</c:v>
                </c:pt>
                <c:pt idx="65">
                  <c:v>256.89</c:v>
                </c:pt>
                <c:pt idx="66">
                  <c:v>343.45</c:v>
                </c:pt>
                <c:pt idx="67">
                  <c:v>397.37</c:v>
                </c:pt>
                <c:pt idx="68">
                  <c:v>480.43</c:v>
                </c:pt>
                <c:pt idx="69">
                  <c:v>471.84</c:v>
                </c:pt>
                <c:pt idx="70">
                  <c:v>442.3</c:v>
                </c:pt>
                <c:pt idx="71">
                  <c:v>339.03</c:v>
                </c:pt>
                <c:pt idx="72">
                  <c:v>188.38</c:v>
                </c:pt>
                <c:pt idx="73">
                  <c:v>67.53</c:v>
                </c:pt>
                <c:pt idx="74">
                  <c:v>503.24</c:v>
                </c:pt>
                <c:pt idx="75">
                  <c:v>190.84</c:v>
                </c:pt>
                <c:pt idx="76">
                  <c:v>373.68</c:v>
                </c:pt>
                <c:pt idx="77">
                  <c:v>162.25</c:v>
                </c:pt>
                <c:pt idx="78">
                  <c:v>167.8</c:v>
                </c:pt>
                <c:pt idx="79">
                  <c:v>323.56</c:v>
                </c:pt>
                <c:pt idx="80">
                  <c:v>385.39</c:v>
                </c:pt>
                <c:pt idx="81">
                  <c:v>389.39</c:v>
                </c:pt>
                <c:pt idx="82">
                  <c:v>85.12</c:v>
                </c:pt>
                <c:pt idx="83">
                  <c:v>302.58</c:v>
                </c:pt>
                <c:pt idx="84">
                  <c:v>273.44</c:v>
                </c:pt>
                <c:pt idx="85">
                  <c:v>430.34</c:v>
                </c:pt>
                <c:pt idx="86">
                  <c:v>196.41</c:v>
                </c:pt>
                <c:pt idx="87">
                  <c:v>423.77</c:v>
                </c:pt>
                <c:pt idx="88">
                  <c:v>484.28</c:v>
                </c:pt>
                <c:pt idx="89">
                  <c:v>180.29</c:v>
                </c:pt>
                <c:pt idx="90">
                  <c:v>408.41</c:v>
                </c:pt>
                <c:pt idx="91">
                  <c:v>201.79</c:v>
                </c:pt>
                <c:pt idx="92">
                  <c:v>566.35</c:v>
                </c:pt>
                <c:pt idx="93">
                  <c:v>220.78</c:v>
                </c:pt>
                <c:pt idx="94">
                  <c:v>501.4</c:v>
                </c:pt>
                <c:pt idx="95">
                  <c:v>293.41</c:v>
                </c:pt>
                <c:pt idx="96">
                  <c:v>461.19</c:v>
                </c:pt>
                <c:pt idx="97">
                  <c:v>232.12</c:v>
                </c:pt>
                <c:pt idx="98">
                  <c:v>122.5</c:v>
                </c:pt>
                <c:pt idx="99">
                  <c:v>469.92</c:v>
                </c:pt>
                <c:pt idx="100">
                  <c:v>71.34</c:v>
                </c:pt>
                <c:pt idx="101">
                  <c:v>410.19</c:v>
                </c:pt>
                <c:pt idx="102">
                  <c:v>399.13</c:v>
                </c:pt>
                <c:pt idx="103">
                  <c:v>248.96</c:v>
                </c:pt>
                <c:pt idx="104">
                  <c:v>69.91</c:v>
                </c:pt>
                <c:pt idx="105">
                  <c:v>309.49</c:v>
                </c:pt>
                <c:pt idx="106">
                  <c:v>389.22</c:v>
                </c:pt>
                <c:pt idx="107">
                  <c:v>457.5</c:v>
                </c:pt>
                <c:pt idx="108">
                  <c:v>425.44</c:v>
                </c:pt>
                <c:pt idx="109">
                  <c:v>141.66</c:v>
                </c:pt>
                <c:pt idx="110">
                  <c:v>446.54</c:v>
                </c:pt>
                <c:pt idx="111">
                  <c:v>96.24</c:v>
                </c:pt>
                <c:pt idx="112">
                  <c:v>160.1</c:v>
                </c:pt>
                <c:pt idx="113">
                  <c:v>431.65</c:v>
                </c:pt>
                <c:pt idx="114">
                  <c:v>493.13</c:v>
                </c:pt>
                <c:pt idx="115">
                  <c:v>327.06</c:v>
                </c:pt>
                <c:pt idx="116">
                  <c:v>328.38</c:v>
                </c:pt>
                <c:pt idx="117">
                  <c:v>140.37</c:v>
                </c:pt>
                <c:pt idx="118">
                  <c:v>451.41</c:v>
                </c:pt>
                <c:pt idx="119">
                  <c:v>353.02</c:v>
                </c:pt>
                <c:pt idx="120">
                  <c:v>411.32</c:v>
                </c:pt>
                <c:pt idx="121">
                  <c:v>159.06</c:v>
                </c:pt>
                <c:pt idx="122">
                  <c:v>198.66</c:v>
                </c:pt>
                <c:pt idx="123">
                  <c:v>285.47</c:v>
                </c:pt>
                <c:pt idx="124">
                  <c:v>116.92</c:v>
                </c:pt>
                <c:pt idx="125">
                  <c:v>396.6</c:v>
                </c:pt>
                <c:pt idx="126">
                  <c:v>204.83</c:v>
                </c:pt>
                <c:pt idx="127">
                  <c:v>354.43</c:v>
                </c:pt>
                <c:pt idx="128">
                  <c:v>213.62</c:v>
                </c:pt>
                <c:pt idx="129">
                  <c:v>246.49</c:v>
                </c:pt>
                <c:pt idx="130">
                  <c:v>323.95</c:v>
                </c:pt>
                <c:pt idx="131">
                  <c:v>140.23</c:v>
                </c:pt>
                <c:pt idx="132">
                  <c:v>348.5</c:v>
                </c:pt>
                <c:pt idx="133">
                  <c:v>432.04</c:v>
                </c:pt>
                <c:pt idx="134">
                  <c:v>143.52</c:v>
                </c:pt>
                <c:pt idx="135">
                  <c:v>371.92</c:v>
                </c:pt>
                <c:pt idx="136">
                  <c:v>325.84</c:v>
                </c:pt>
                <c:pt idx="137">
                  <c:v>461.85</c:v>
                </c:pt>
                <c:pt idx="138">
                  <c:v>489.76</c:v>
                </c:pt>
                <c:pt idx="139">
                  <c:v>383.87</c:v>
                </c:pt>
                <c:pt idx="140">
                  <c:v>315.1</c:v>
                </c:pt>
                <c:pt idx="141">
                  <c:v>276.85</c:v>
                </c:pt>
                <c:pt idx="142">
                  <c:v>274.87</c:v>
                </c:pt>
                <c:pt idx="143">
                  <c:v>91.44</c:v>
                </c:pt>
                <c:pt idx="144">
                  <c:v>135.84</c:v>
                </c:pt>
                <c:pt idx="145">
                  <c:v>458.34</c:v>
                </c:pt>
                <c:pt idx="146">
                  <c:v>114.66</c:v>
                </c:pt>
                <c:pt idx="147">
                  <c:v>259.34</c:v>
                </c:pt>
                <c:pt idx="148">
                  <c:v>257.38</c:v>
                </c:pt>
                <c:pt idx="149">
                  <c:v>321.19</c:v>
                </c:pt>
                <c:pt idx="150">
                  <c:v>110.74</c:v>
                </c:pt>
                <c:pt idx="151">
                  <c:v>353.01</c:v>
                </c:pt>
                <c:pt idx="152">
                  <c:v>145.03</c:v>
                </c:pt>
                <c:pt idx="153">
                  <c:v>233.62</c:v>
                </c:pt>
                <c:pt idx="154">
                  <c:v>453.31</c:v>
                </c:pt>
                <c:pt idx="155">
                  <c:v>440.11</c:v>
                </c:pt>
                <c:pt idx="156">
                  <c:v>138.39</c:v>
                </c:pt>
                <c:pt idx="157">
                  <c:v>302.19</c:v>
                </c:pt>
                <c:pt idx="158">
                  <c:v>138.96</c:v>
                </c:pt>
                <c:pt idx="159">
                  <c:v>309.6</c:v>
                </c:pt>
                <c:pt idx="160">
                  <c:v>33.97</c:v>
                </c:pt>
                <c:pt idx="161">
                  <c:v>468.13</c:v>
                </c:pt>
                <c:pt idx="162">
                  <c:v>347.01</c:v>
                </c:pt>
                <c:pt idx="163">
                  <c:v>399.31</c:v>
                </c:pt>
                <c:pt idx="164">
                  <c:v>383.28</c:v>
                </c:pt>
                <c:pt idx="165">
                  <c:v>318.39</c:v>
                </c:pt>
                <c:pt idx="166">
                  <c:v>362.95</c:v>
                </c:pt>
                <c:pt idx="167">
                  <c:v>130.24</c:v>
                </c:pt>
                <c:pt idx="168">
                  <c:v>352.46</c:v>
                </c:pt>
                <c:pt idx="169">
                  <c:v>377.05</c:v>
                </c:pt>
                <c:pt idx="170">
                  <c:v>257.68</c:v>
                </c:pt>
                <c:pt idx="171">
                  <c:v>244.47</c:v>
                </c:pt>
                <c:pt idx="172">
                  <c:v>77.64</c:v>
                </c:pt>
                <c:pt idx="173">
                  <c:v>339.92</c:v>
                </c:pt>
                <c:pt idx="174">
                  <c:v>524.74</c:v>
                </c:pt>
                <c:pt idx="175">
                  <c:v>275.9</c:v>
                </c:pt>
                <c:pt idx="176">
                  <c:v>133.28</c:v>
                </c:pt>
                <c:pt idx="177">
                  <c:v>472.62</c:v>
                </c:pt>
                <c:pt idx="178">
                  <c:v>218.74</c:v>
                </c:pt>
                <c:pt idx="179">
                  <c:v>450.16</c:v>
                </c:pt>
                <c:pt idx="180">
                  <c:v>64.3</c:v>
                </c:pt>
                <c:pt idx="181">
                  <c:v>441.73</c:v>
                </c:pt>
                <c:pt idx="182">
                  <c:v>166.79</c:v>
                </c:pt>
                <c:pt idx="183">
                  <c:v>363.36</c:v>
                </c:pt>
                <c:pt idx="184">
                  <c:v>493.88</c:v>
                </c:pt>
                <c:pt idx="185">
                  <c:v>298.57</c:v>
                </c:pt>
                <c:pt idx="186">
                  <c:v>168.18</c:v>
                </c:pt>
                <c:pt idx="187">
                  <c:v>116.09</c:v>
                </c:pt>
                <c:pt idx="188">
                  <c:v>226.87</c:v>
                </c:pt>
                <c:pt idx="189">
                  <c:v>457.48</c:v>
                </c:pt>
                <c:pt idx="190">
                  <c:v>417.17</c:v>
                </c:pt>
                <c:pt idx="191">
                  <c:v>179.37</c:v>
                </c:pt>
                <c:pt idx="192">
                  <c:v>498.1</c:v>
                </c:pt>
                <c:pt idx="193">
                  <c:v>252.1</c:v>
                </c:pt>
                <c:pt idx="194">
                  <c:v>151.12</c:v>
                </c:pt>
                <c:pt idx="195">
                  <c:v>153.83</c:v>
                </c:pt>
                <c:pt idx="196">
                  <c:v>491.13</c:v>
                </c:pt>
                <c:pt idx="197">
                  <c:v>214.28</c:v>
                </c:pt>
                <c:pt idx="198">
                  <c:v>199.87</c:v>
                </c:pt>
                <c:pt idx="199">
                  <c:v>359.75</c:v>
                </c:pt>
                <c:pt idx="200">
                  <c:v>402.59</c:v>
                </c:pt>
                <c:pt idx="201">
                  <c:v>179.91</c:v>
                </c:pt>
                <c:pt idx="202">
                  <c:v>306.35</c:v>
                </c:pt>
                <c:pt idx="203">
                  <c:v>137.31</c:v>
                </c:pt>
                <c:pt idx="204">
                  <c:v>472.26</c:v>
                </c:pt>
                <c:pt idx="205">
                  <c:v>451.52</c:v>
                </c:pt>
                <c:pt idx="206">
                  <c:v>399</c:v>
                </c:pt>
                <c:pt idx="207">
                  <c:v>355.5</c:v>
                </c:pt>
                <c:pt idx="208">
                  <c:v>244.46</c:v>
                </c:pt>
                <c:pt idx="209">
                  <c:v>97.8</c:v>
                </c:pt>
                <c:pt idx="210">
                  <c:v>381.05</c:v>
                </c:pt>
                <c:pt idx="211">
                  <c:v>465.57</c:v>
                </c:pt>
                <c:pt idx="212">
                  <c:v>204.78</c:v>
                </c:pt>
                <c:pt idx="213">
                  <c:v>335.52</c:v>
                </c:pt>
                <c:pt idx="214">
                  <c:v>272.53</c:v>
                </c:pt>
                <c:pt idx="215">
                  <c:v>182.71</c:v>
                </c:pt>
                <c:pt idx="216">
                  <c:v>414.14</c:v>
                </c:pt>
                <c:pt idx="217">
                  <c:v>460.9</c:v>
                </c:pt>
                <c:pt idx="218">
                  <c:v>257.19</c:v>
                </c:pt>
                <c:pt idx="219">
                  <c:v>213.33</c:v>
                </c:pt>
                <c:pt idx="220">
                  <c:v>155.84</c:v>
                </c:pt>
                <c:pt idx="221">
                  <c:v>336.27</c:v>
                </c:pt>
                <c:pt idx="222">
                  <c:v>372.08</c:v>
                </c:pt>
                <c:pt idx="223">
                  <c:v>357.01</c:v>
                </c:pt>
                <c:pt idx="224">
                  <c:v>134.34</c:v>
                </c:pt>
                <c:pt idx="225">
                  <c:v>319.74</c:v>
                </c:pt>
                <c:pt idx="226">
                  <c:v>218.3</c:v>
                </c:pt>
                <c:pt idx="227">
                  <c:v>464.17</c:v>
                </c:pt>
                <c:pt idx="228">
                  <c:v>185.79</c:v>
                </c:pt>
                <c:pt idx="229">
                  <c:v>340.98</c:v>
                </c:pt>
                <c:pt idx="230">
                  <c:v>68.4</c:v>
                </c:pt>
                <c:pt idx="231">
                  <c:v>206.39</c:v>
                </c:pt>
                <c:pt idx="232">
                  <c:v>205.65</c:v>
                </c:pt>
                <c:pt idx="233">
                  <c:v>337.7</c:v>
                </c:pt>
                <c:pt idx="234">
                  <c:v>273.05</c:v>
                </c:pt>
                <c:pt idx="235">
                  <c:v>244.51</c:v>
                </c:pt>
                <c:pt idx="236">
                  <c:v>95.15</c:v>
                </c:pt>
                <c:pt idx="237">
                  <c:v>496.88</c:v>
                </c:pt>
                <c:pt idx="238">
                  <c:v>382.92</c:v>
                </c:pt>
                <c:pt idx="239">
                  <c:v>425.76</c:v>
                </c:pt>
                <c:pt idx="240">
                  <c:v>317.84</c:v>
                </c:pt>
                <c:pt idx="241">
                  <c:v>318.12</c:v>
                </c:pt>
                <c:pt idx="242">
                  <c:v>245.08</c:v>
                </c:pt>
                <c:pt idx="243">
                  <c:v>369.48</c:v>
                </c:pt>
                <c:pt idx="244">
                  <c:v>133.87</c:v>
                </c:pt>
                <c:pt idx="245">
                  <c:v>270.95</c:v>
                </c:pt>
                <c:pt idx="246">
                  <c:v>329.15</c:v>
                </c:pt>
                <c:pt idx="247">
                  <c:v>288.56</c:v>
                </c:pt>
                <c:pt idx="248">
                  <c:v>464.84</c:v>
                </c:pt>
                <c:pt idx="249">
                  <c:v>247.66</c:v>
                </c:pt>
                <c:pt idx="250">
                  <c:v>117.7</c:v>
                </c:pt>
                <c:pt idx="251">
                  <c:v>393.99</c:v>
                </c:pt>
                <c:pt idx="252">
                  <c:v>119.58</c:v>
                </c:pt>
                <c:pt idx="253">
                  <c:v>227.11</c:v>
                </c:pt>
                <c:pt idx="254">
                  <c:v>447.96</c:v>
                </c:pt>
                <c:pt idx="255">
                  <c:v>358.79</c:v>
                </c:pt>
                <c:pt idx="256">
                  <c:v>203.03</c:v>
                </c:pt>
                <c:pt idx="257">
                  <c:v>77.55</c:v>
                </c:pt>
                <c:pt idx="258">
                  <c:v>281.11</c:v>
                </c:pt>
                <c:pt idx="259">
                  <c:v>370.08</c:v>
                </c:pt>
                <c:pt idx="260">
                  <c:v>356.61</c:v>
                </c:pt>
                <c:pt idx="261">
                  <c:v>432.01</c:v>
                </c:pt>
                <c:pt idx="262">
                  <c:v>410.26</c:v>
                </c:pt>
                <c:pt idx="263">
                  <c:v>313.82</c:v>
                </c:pt>
                <c:pt idx="264">
                  <c:v>460.27</c:v>
                </c:pt>
                <c:pt idx="265">
                  <c:v>468.16</c:v>
                </c:pt>
                <c:pt idx="266">
                  <c:v>428.3</c:v>
                </c:pt>
                <c:pt idx="267">
                  <c:v>158.61</c:v>
                </c:pt>
                <c:pt idx="268">
                  <c:v>90.04</c:v>
                </c:pt>
                <c:pt idx="269">
                  <c:v>251.43</c:v>
                </c:pt>
                <c:pt idx="270">
                  <c:v>120.78</c:v>
                </c:pt>
                <c:pt idx="271">
                  <c:v>150.07</c:v>
                </c:pt>
                <c:pt idx="272">
                  <c:v>256.72</c:v>
                </c:pt>
                <c:pt idx="273">
                  <c:v>126.54</c:v>
                </c:pt>
                <c:pt idx="274">
                  <c:v>102.28</c:v>
                </c:pt>
                <c:pt idx="275">
                  <c:v>246.58</c:v>
                </c:pt>
                <c:pt idx="276">
                  <c:v>140.27</c:v>
                </c:pt>
                <c:pt idx="277">
                  <c:v>341.67</c:v>
                </c:pt>
                <c:pt idx="278">
                  <c:v>101.68</c:v>
                </c:pt>
                <c:pt idx="279">
                  <c:v>114.11</c:v>
                </c:pt>
                <c:pt idx="280">
                  <c:v>207.01</c:v>
                </c:pt>
                <c:pt idx="281">
                  <c:v>367.1</c:v>
                </c:pt>
                <c:pt idx="282">
                  <c:v>117.3</c:v>
                </c:pt>
                <c:pt idx="283">
                  <c:v>181.81</c:v>
                </c:pt>
                <c:pt idx="284">
                  <c:v>243.47</c:v>
                </c:pt>
                <c:pt idx="285">
                  <c:v>477.67</c:v>
                </c:pt>
                <c:pt idx="286">
                  <c:v>147.29</c:v>
                </c:pt>
                <c:pt idx="287">
                  <c:v>334.88</c:v>
                </c:pt>
                <c:pt idx="288">
                  <c:v>395.64</c:v>
                </c:pt>
                <c:pt idx="289">
                  <c:v>96.88</c:v>
                </c:pt>
                <c:pt idx="290">
                  <c:v>324.02</c:v>
                </c:pt>
                <c:pt idx="291">
                  <c:v>199.14</c:v>
                </c:pt>
                <c:pt idx="292">
                  <c:v>130.95</c:v>
                </c:pt>
                <c:pt idx="293">
                  <c:v>291.54</c:v>
                </c:pt>
                <c:pt idx="294">
                  <c:v>470.01</c:v>
                </c:pt>
                <c:pt idx="295">
                  <c:v>305.22</c:v>
                </c:pt>
                <c:pt idx="296">
                  <c:v>105.72</c:v>
                </c:pt>
                <c:pt idx="297">
                  <c:v>233.18</c:v>
                </c:pt>
                <c:pt idx="298">
                  <c:v>460.21</c:v>
                </c:pt>
                <c:pt idx="299">
                  <c:v>2.19</c:v>
                </c:pt>
                <c:pt idx="300">
                  <c:v>178.23</c:v>
                </c:pt>
                <c:pt idx="301">
                  <c:v>140.24</c:v>
                </c:pt>
                <c:pt idx="302">
                  <c:v>439.27</c:v>
                </c:pt>
                <c:pt idx="303">
                  <c:v>465.08</c:v>
                </c:pt>
                <c:pt idx="304">
                  <c:v>459.83</c:v>
                </c:pt>
                <c:pt idx="305">
                  <c:v>439.89</c:v>
                </c:pt>
                <c:pt idx="306">
                  <c:v>359.96</c:v>
                </c:pt>
                <c:pt idx="307">
                  <c:v>317.57</c:v>
                </c:pt>
                <c:pt idx="308">
                  <c:v>224.78</c:v>
                </c:pt>
                <c:pt idx="309">
                  <c:v>110.36</c:v>
                </c:pt>
                <c:pt idx="310">
                  <c:v>365.54</c:v>
                </c:pt>
                <c:pt idx="311">
                  <c:v>181.12</c:v>
                </c:pt>
                <c:pt idx="312">
                  <c:v>494.73</c:v>
                </c:pt>
                <c:pt idx="313">
                  <c:v>402.03</c:v>
                </c:pt>
                <c:pt idx="314">
                  <c:v>340.06</c:v>
                </c:pt>
                <c:pt idx="315">
                  <c:v>190.66</c:v>
                </c:pt>
                <c:pt idx="316">
                  <c:v>465.16</c:v>
                </c:pt>
                <c:pt idx="317">
                  <c:v>258.41</c:v>
                </c:pt>
                <c:pt idx="318">
                  <c:v>192.26</c:v>
                </c:pt>
                <c:pt idx="319">
                  <c:v>370.04</c:v>
                </c:pt>
                <c:pt idx="320">
                  <c:v>489.64</c:v>
                </c:pt>
                <c:pt idx="321">
                  <c:v>311.4</c:v>
                </c:pt>
                <c:pt idx="322">
                  <c:v>340.01</c:v>
                </c:pt>
                <c:pt idx="323">
                  <c:v>348.49</c:v>
                </c:pt>
                <c:pt idx="324">
                  <c:v>337.42</c:v>
                </c:pt>
                <c:pt idx="325">
                  <c:v>103.76</c:v>
                </c:pt>
                <c:pt idx="326">
                  <c:v>308.72</c:v>
                </c:pt>
                <c:pt idx="327">
                  <c:v>203</c:v>
                </c:pt>
                <c:pt idx="328">
                  <c:v>112.43</c:v>
                </c:pt>
                <c:pt idx="329">
                  <c:v>121.43</c:v>
                </c:pt>
                <c:pt idx="330">
                  <c:v>379.95</c:v>
                </c:pt>
                <c:pt idx="331">
                  <c:v>362.48</c:v>
                </c:pt>
                <c:pt idx="332">
                  <c:v>470.74</c:v>
                </c:pt>
                <c:pt idx="333">
                  <c:v>305.26</c:v>
                </c:pt>
                <c:pt idx="334">
                  <c:v>241.35</c:v>
                </c:pt>
                <c:pt idx="335">
                  <c:v>213.14</c:v>
                </c:pt>
                <c:pt idx="336">
                  <c:v>237.07</c:v>
                </c:pt>
                <c:pt idx="337">
                  <c:v>359.41</c:v>
                </c:pt>
                <c:pt idx="338">
                  <c:v>225.18</c:v>
                </c:pt>
                <c:pt idx="339">
                  <c:v>88.21</c:v>
                </c:pt>
                <c:pt idx="340">
                  <c:v>325.42</c:v>
                </c:pt>
                <c:pt idx="341">
                  <c:v>334.97</c:v>
                </c:pt>
                <c:pt idx="342">
                  <c:v>298.36</c:v>
                </c:pt>
                <c:pt idx="343">
                  <c:v>95.44</c:v>
                </c:pt>
                <c:pt idx="344">
                  <c:v>401.9</c:v>
                </c:pt>
                <c:pt idx="345">
                  <c:v>278.63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318206"/>
        <c:axId val="496991453"/>
      </c:scatterChart>
      <c:valAx>
        <c:axId val="7903182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991453"/>
        <c:crosses val="autoZero"/>
        <c:crossBetween val="midCat"/>
      </c:valAx>
      <c:valAx>
        <c:axId val="49699145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31820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0a689c-4bf7-487a-86f5-ab27b7cc8e2a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1924050</xdr:colOff>
      <xdr:row>316</xdr:row>
      <xdr:rowOff>57785</xdr:rowOff>
    </xdr:from>
    <xdr:to>
      <xdr:col>10</xdr:col>
      <xdr:colOff>443865</xdr:colOff>
      <xdr:row>346</xdr:row>
      <xdr:rowOff>19050</xdr:rowOff>
    </xdr:to>
    <xdr:graphicFrame>
      <xdr:nvGraphicFramePr>
        <xdr:cNvPr id="3" name="Chart 2" descr="7b0a202020202263686172745265734964223a20223230343731343133220a7d0a"/>
        <xdr:cNvGraphicFramePr/>
      </xdr:nvGraphicFramePr>
      <xdr:xfrm>
        <a:off x="3810000" y="58249185"/>
        <a:ext cx="7314565" cy="5485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596900</xdr:colOff>
      <xdr:row>3</xdr:row>
      <xdr:rowOff>88900</xdr:rowOff>
    </xdr:from>
    <xdr:to>
      <xdr:col>15</xdr:col>
      <xdr:colOff>393700</xdr:colOff>
      <xdr:row>18</xdr:row>
      <xdr:rowOff>69850</xdr:rowOff>
    </xdr:to>
    <xdr:graphicFrame>
      <xdr:nvGraphicFramePr>
        <xdr:cNvPr id="2" name="Chart 1"/>
        <xdr:cNvGraphicFramePr/>
      </xdr:nvGraphicFramePr>
      <xdr:xfrm>
        <a:off x="9188450" y="641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</xdr:colOff>
      <xdr:row>22</xdr:row>
      <xdr:rowOff>31750</xdr:rowOff>
    </xdr:from>
    <xdr:to>
      <xdr:col>15</xdr:col>
      <xdr:colOff>450850</xdr:colOff>
      <xdr:row>37</xdr:row>
      <xdr:rowOff>12700</xdr:rowOff>
    </xdr:to>
    <xdr:graphicFrame>
      <xdr:nvGraphicFramePr>
        <xdr:cNvPr id="4" name="Chart 3"/>
        <xdr:cNvGraphicFramePr/>
      </xdr:nvGraphicFramePr>
      <xdr:xfrm>
        <a:off x="9245600" y="4083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520700</xdr:colOff>
      <xdr:row>13</xdr:row>
      <xdr:rowOff>177800</xdr:rowOff>
    </xdr:from>
    <xdr:to>
      <xdr:col>8</xdr:col>
      <xdr:colOff>450850</xdr:colOff>
      <xdr:row>28</xdr:row>
      <xdr:rowOff>158750</xdr:rowOff>
    </xdr:to>
    <xdr:graphicFrame>
      <xdr:nvGraphicFramePr>
        <xdr:cNvPr id="3" name="Chart 2"/>
        <xdr:cNvGraphicFramePr/>
      </xdr:nvGraphicFramePr>
      <xdr:xfrm>
        <a:off x="4616450" y="2571750"/>
        <a:ext cx="48253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114300</xdr:colOff>
      <xdr:row>11</xdr:row>
      <xdr:rowOff>61595</xdr:rowOff>
    </xdr:from>
    <xdr:to>
      <xdr:col>14</xdr:col>
      <xdr:colOff>601980</xdr:colOff>
      <xdr:row>26</xdr:row>
      <xdr:rowOff>181610</xdr:rowOff>
    </xdr:to>
    <xdr:graphicFrame>
      <xdr:nvGraphicFramePr>
        <xdr:cNvPr id="5" name="Chart 4"/>
        <xdr:cNvGraphicFramePr/>
      </xdr:nvGraphicFramePr>
      <xdr:xfrm>
        <a:off x="3302000" y="2592070"/>
        <a:ext cx="5974080" cy="2891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50800</xdr:colOff>
      <xdr:row>30</xdr:row>
      <xdr:rowOff>17145</xdr:rowOff>
    </xdr:from>
    <xdr:to>
      <xdr:col>8</xdr:col>
      <xdr:colOff>387350</xdr:colOff>
      <xdr:row>42</xdr:row>
      <xdr:rowOff>15240</xdr:rowOff>
    </xdr:to>
    <xdr:graphicFrame>
      <xdr:nvGraphicFramePr>
        <xdr:cNvPr id="8" name="Chart 7"/>
        <xdr:cNvGraphicFramePr/>
      </xdr:nvGraphicFramePr>
      <xdr:xfrm>
        <a:off x="1270000" y="6303645"/>
        <a:ext cx="4133850" cy="221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596900</xdr:colOff>
      <xdr:row>29</xdr:row>
      <xdr:rowOff>179070</xdr:rowOff>
    </xdr:from>
    <xdr:to>
      <xdr:col>16</xdr:col>
      <xdr:colOff>402590</xdr:colOff>
      <xdr:row>41</xdr:row>
      <xdr:rowOff>139700</xdr:rowOff>
    </xdr:to>
    <xdr:graphicFrame>
      <xdr:nvGraphicFramePr>
        <xdr:cNvPr id="9" name="Chart 8"/>
        <xdr:cNvGraphicFramePr/>
      </xdr:nvGraphicFramePr>
      <xdr:xfrm>
        <a:off x="6223000" y="6157595"/>
        <a:ext cx="4072890" cy="229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114300</xdr:colOff>
      <xdr:row>11</xdr:row>
      <xdr:rowOff>61595</xdr:rowOff>
    </xdr:from>
    <xdr:to>
      <xdr:col>14</xdr:col>
      <xdr:colOff>601980</xdr:colOff>
      <xdr:row>26</xdr:row>
      <xdr:rowOff>181610</xdr:rowOff>
    </xdr:to>
    <xdr:graphicFrame>
      <xdr:nvGraphicFramePr>
        <xdr:cNvPr id="2" name="Chart 1"/>
        <xdr:cNvGraphicFramePr/>
      </xdr:nvGraphicFramePr>
      <xdr:xfrm>
        <a:off x="3302000" y="2592070"/>
        <a:ext cx="5974080" cy="2920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124460</xdr:colOff>
      <xdr:row>5</xdr:row>
      <xdr:rowOff>33655</xdr:rowOff>
    </xdr:from>
    <xdr:to>
      <xdr:col>24</xdr:col>
      <xdr:colOff>600710</xdr:colOff>
      <xdr:row>16</xdr:row>
      <xdr:rowOff>85725</xdr:rowOff>
    </xdr:to>
    <xdr:graphicFrame>
      <xdr:nvGraphicFramePr>
        <xdr:cNvPr id="7" name="Chart 6"/>
        <xdr:cNvGraphicFramePr/>
      </xdr:nvGraphicFramePr>
      <xdr:xfrm>
        <a:off x="11236960" y="1338580"/>
        <a:ext cx="4133850" cy="2207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5</xdr:row>
      <xdr:rowOff>0</xdr:rowOff>
    </xdr:from>
    <xdr:to>
      <xdr:col>32</xdr:col>
      <xdr:colOff>415290</xdr:colOff>
      <xdr:row>16</xdr:row>
      <xdr:rowOff>128905</xdr:rowOff>
    </xdr:to>
    <xdr:graphicFrame>
      <xdr:nvGraphicFramePr>
        <xdr:cNvPr id="8" name="Chart 7"/>
        <xdr:cNvGraphicFramePr/>
      </xdr:nvGraphicFramePr>
      <xdr:xfrm>
        <a:off x="15989300" y="1304925"/>
        <a:ext cx="4072890" cy="2284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 data.2026051819140110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8"/>
      <sheetName val="Sheet5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4"/>
  <sheetViews>
    <sheetView workbookViewId="0">
      <selection activeCell="D4" sqref="D4"/>
    </sheetView>
  </sheetViews>
  <sheetFormatPr defaultColWidth="9" defaultRowHeight="14.5" outlineLevelCol="5"/>
  <cols>
    <col min="4" max="4" width="26.4545454545455" customWidth="1"/>
    <col min="5" max="5" width="18.8181818181818" customWidth="1"/>
    <col min="6" max="6" width="14.5454545454545" customWidth="1"/>
  </cols>
  <sheetData>
    <row r="1" spans="1:6">
      <c r="A1" t="s">
        <v>0</v>
      </c>
    </row>
    <row r="3" spans="1:6">
      <c r="A3" s="122" t="s">
        <v>1</v>
      </c>
      <c r="B3" s="122" t="s">
        <v>2</v>
      </c>
      <c r="C3" s="122" t="s">
        <v>3</v>
      </c>
      <c r="D3" s="122" t="s">
        <v>4</v>
      </c>
      <c r="E3" s="122" t="s">
        <v>5</v>
      </c>
      <c r="F3" s="122" t="s">
        <v>6</v>
      </c>
    </row>
    <row r="4" spans="1:6">
      <c r="A4">
        <v>2022</v>
      </c>
      <c r="B4" t="s">
        <v>7</v>
      </c>
      <c r="C4" t="s">
        <v>8</v>
      </c>
      <c r="D4">
        <v>8270</v>
      </c>
      <c r="E4">
        <v>37.98</v>
      </c>
      <c r="F4">
        <v>447.51</v>
      </c>
    </row>
    <row r="5" spans="1:6">
      <c r="A5">
        <v>2022</v>
      </c>
      <c r="B5" t="s">
        <v>7</v>
      </c>
      <c r="C5" t="s">
        <v>9</v>
      </c>
      <c r="D5">
        <v>1860</v>
      </c>
      <c r="E5">
        <v>15.53</v>
      </c>
      <c r="F5">
        <v>164.08</v>
      </c>
    </row>
    <row r="6" spans="1:6">
      <c r="A6">
        <v>2022</v>
      </c>
      <c r="B6" t="s">
        <v>7</v>
      </c>
      <c r="C6" t="s">
        <v>10</v>
      </c>
      <c r="D6">
        <v>6390</v>
      </c>
      <c r="E6">
        <v>15.31</v>
      </c>
      <c r="F6">
        <v>320.67</v>
      </c>
    </row>
    <row r="7" spans="1:6">
      <c r="A7">
        <v>2022</v>
      </c>
      <c r="B7" t="s">
        <v>7</v>
      </c>
      <c r="C7" t="s">
        <v>11</v>
      </c>
      <c r="D7">
        <v>6191</v>
      </c>
      <c r="E7">
        <v>48.78</v>
      </c>
      <c r="F7">
        <v>278.29</v>
      </c>
    </row>
    <row r="8" spans="1:6">
      <c r="A8">
        <v>2022</v>
      </c>
      <c r="B8" t="s">
        <v>7</v>
      </c>
      <c r="C8" t="s">
        <v>12</v>
      </c>
      <c r="D8">
        <v>6734</v>
      </c>
      <c r="E8">
        <v>38.58</v>
      </c>
      <c r="F8">
        <v>344.92</v>
      </c>
    </row>
    <row r="9" spans="1:6">
      <c r="A9">
        <v>2022</v>
      </c>
      <c r="B9" t="s">
        <v>7</v>
      </c>
      <c r="C9" t="s">
        <v>13</v>
      </c>
      <c r="D9">
        <v>7265</v>
      </c>
      <c r="E9">
        <v>11.64</v>
      </c>
      <c r="F9">
        <v>416.07</v>
      </c>
    </row>
    <row r="10" spans="1:6">
      <c r="A10">
        <v>2022</v>
      </c>
      <c r="B10" t="s">
        <v>7</v>
      </c>
      <c r="C10" t="s">
        <v>14</v>
      </c>
      <c r="D10">
        <v>1466</v>
      </c>
      <c r="E10">
        <v>25.95</v>
      </c>
      <c r="F10">
        <v>91.93</v>
      </c>
    </row>
    <row r="11" spans="1:6">
      <c r="A11">
        <v>2022</v>
      </c>
      <c r="B11" t="s">
        <v>7</v>
      </c>
      <c r="C11" t="s">
        <v>15</v>
      </c>
      <c r="D11">
        <v>5426</v>
      </c>
      <c r="E11">
        <v>27.34</v>
      </c>
      <c r="F11">
        <v>255.73</v>
      </c>
    </row>
    <row r="12" spans="1:6">
      <c r="A12">
        <v>2022</v>
      </c>
      <c r="B12" t="s">
        <v>7</v>
      </c>
      <c r="C12" t="s">
        <v>16</v>
      </c>
      <c r="D12">
        <v>6578</v>
      </c>
      <c r="E12">
        <v>39.76</v>
      </c>
      <c r="F12">
        <v>341.12</v>
      </c>
    </row>
    <row r="13" spans="1:6">
      <c r="A13">
        <v>2022</v>
      </c>
      <c r="B13" t="s">
        <v>7</v>
      </c>
      <c r="C13" t="s">
        <v>17</v>
      </c>
      <c r="D13">
        <v>9322</v>
      </c>
      <c r="E13">
        <v>20.03</v>
      </c>
      <c r="F13">
        <v>488.17</v>
      </c>
    </row>
    <row r="14" spans="1:6">
      <c r="A14">
        <v>2022</v>
      </c>
      <c r="B14" t="s">
        <v>7</v>
      </c>
      <c r="C14" t="s">
        <v>8</v>
      </c>
      <c r="D14">
        <v>2685</v>
      </c>
      <c r="E14">
        <v>17.37</v>
      </c>
      <c r="F14">
        <v>159.28</v>
      </c>
    </row>
    <row r="15" spans="1:6">
      <c r="A15">
        <v>2022</v>
      </c>
      <c r="B15" t="s">
        <v>7</v>
      </c>
      <c r="C15" t="s">
        <v>9</v>
      </c>
      <c r="D15">
        <v>1769</v>
      </c>
      <c r="E15">
        <v>13.23</v>
      </c>
      <c r="F15">
        <v>77.01</v>
      </c>
    </row>
    <row r="16" spans="1:6">
      <c r="A16">
        <v>2022</v>
      </c>
      <c r="B16" t="s">
        <v>7</v>
      </c>
      <c r="C16" t="s">
        <v>10</v>
      </c>
      <c r="D16">
        <v>7949</v>
      </c>
      <c r="E16">
        <v>27.13</v>
      </c>
      <c r="F16">
        <v>430.84</v>
      </c>
    </row>
    <row r="17" spans="1:6">
      <c r="A17">
        <v>2022</v>
      </c>
      <c r="B17" t="s">
        <v>7</v>
      </c>
      <c r="C17" t="s">
        <v>11</v>
      </c>
      <c r="D17">
        <v>3433</v>
      </c>
      <c r="E17">
        <v>37.54</v>
      </c>
      <c r="F17">
        <v>179.51</v>
      </c>
    </row>
    <row r="18" spans="1:6">
      <c r="A18">
        <v>2022</v>
      </c>
      <c r="B18" t="s">
        <v>7</v>
      </c>
      <c r="C18" t="s">
        <v>12</v>
      </c>
      <c r="D18">
        <v>6311</v>
      </c>
      <c r="E18">
        <v>12.33</v>
      </c>
      <c r="F18">
        <v>386.66</v>
      </c>
    </row>
    <row r="19" spans="1:6">
      <c r="A19">
        <v>2022</v>
      </c>
      <c r="B19" t="s">
        <v>7</v>
      </c>
      <c r="C19" t="s">
        <v>13</v>
      </c>
      <c r="D19">
        <v>6051</v>
      </c>
      <c r="E19">
        <v>46.61</v>
      </c>
      <c r="F19">
        <v>295.13</v>
      </c>
    </row>
    <row r="20" spans="1:6">
      <c r="A20">
        <v>2022</v>
      </c>
      <c r="B20" t="s">
        <v>7</v>
      </c>
      <c r="C20" t="s">
        <v>14</v>
      </c>
      <c r="D20">
        <v>7420</v>
      </c>
      <c r="E20">
        <v>27.69</v>
      </c>
      <c r="F20">
        <v>399.09</v>
      </c>
    </row>
    <row r="21" spans="1:6">
      <c r="A21">
        <v>2022</v>
      </c>
      <c r="B21" t="s">
        <v>7</v>
      </c>
      <c r="C21" t="s">
        <v>15</v>
      </c>
      <c r="D21">
        <v>2184</v>
      </c>
      <c r="E21">
        <v>19.59</v>
      </c>
      <c r="F21">
        <v>152.33</v>
      </c>
    </row>
    <row r="22" spans="1:6">
      <c r="A22">
        <v>2022</v>
      </c>
      <c r="B22" t="s">
        <v>7</v>
      </c>
      <c r="C22" t="s">
        <v>16</v>
      </c>
      <c r="D22">
        <v>5555</v>
      </c>
      <c r="E22">
        <v>13.75</v>
      </c>
      <c r="F22">
        <v>276.32</v>
      </c>
    </row>
    <row r="23" spans="1:6">
      <c r="A23">
        <v>2022</v>
      </c>
      <c r="B23" t="s">
        <v>7</v>
      </c>
      <c r="C23" t="s">
        <v>17</v>
      </c>
      <c r="D23">
        <v>4385</v>
      </c>
      <c r="E23">
        <v>17.31</v>
      </c>
      <c r="F23">
        <v>300.81</v>
      </c>
    </row>
    <row r="24" spans="1:6">
      <c r="A24">
        <v>2022</v>
      </c>
      <c r="B24" t="s">
        <v>7</v>
      </c>
      <c r="C24" t="s">
        <v>8</v>
      </c>
      <c r="D24">
        <v>7396</v>
      </c>
      <c r="E24">
        <v>47.38</v>
      </c>
      <c r="F24">
        <v>354.32</v>
      </c>
    </row>
    <row r="25" spans="1:6">
      <c r="A25">
        <v>2022</v>
      </c>
      <c r="B25" t="s">
        <v>7</v>
      </c>
      <c r="C25" t="s">
        <v>9</v>
      </c>
      <c r="D25">
        <v>9666</v>
      </c>
      <c r="E25">
        <v>35.53</v>
      </c>
      <c r="F25">
        <v>500.55</v>
      </c>
    </row>
    <row r="26" spans="1:6">
      <c r="A26">
        <v>2022</v>
      </c>
      <c r="B26" t="s">
        <v>7</v>
      </c>
      <c r="C26" t="s">
        <v>10</v>
      </c>
      <c r="D26">
        <v>3558</v>
      </c>
      <c r="E26">
        <v>30.67</v>
      </c>
      <c r="F26">
        <v>203.91</v>
      </c>
    </row>
    <row r="27" spans="1:6">
      <c r="A27">
        <v>2022</v>
      </c>
      <c r="B27" t="s">
        <v>7</v>
      </c>
      <c r="C27" t="s">
        <v>11</v>
      </c>
      <c r="D27">
        <v>8849</v>
      </c>
      <c r="E27">
        <v>36.28</v>
      </c>
      <c r="F27">
        <v>432.61</v>
      </c>
    </row>
    <row r="28" spans="1:6">
      <c r="A28">
        <v>2022</v>
      </c>
      <c r="B28" t="s">
        <v>7</v>
      </c>
      <c r="C28" t="s">
        <v>12</v>
      </c>
      <c r="D28">
        <v>3047</v>
      </c>
      <c r="E28">
        <v>27.43</v>
      </c>
      <c r="F28">
        <v>206.38</v>
      </c>
    </row>
    <row r="29" spans="1:6">
      <c r="A29">
        <v>2022</v>
      </c>
      <c r="B29" t="s">
        <v>7</v>
      </c>
      <c r="C29" t="s">
        <v>13</v>
      </c>
      <c r="D29">
        <v>3747</v>
      </c>
      <c r="E29">
        <v>39.2</v>
      </c>
      <c r="F29">
        <v>195.63</v>
      </c>
    </row>
    <row r="30" spans="1:6">
      <c r="A30">
        <v>2022</v>
      </c>
      <c r="B30" t="s">
        <v>7</v>
      </c>
      <c r="C30" t="s">
        <v>14</v>
      </c>
      <c r="D30">
        <v>1189</v>
      </c>
      <c r="E30">
        <v>11.91</v>
      </c>
      <c r="F30">
        <v>90.89</v>
      </c>
    </row>
    <row r="31" spans="1:6">
      <c r="A31">
        <v>2022</v>
      </c>
      <c r="B31" t="s">
        <v>7</v>
      </c>
      <c r="C31" t="s">
        <v>15</v>
      </c>
      <c r="D31">
        <v>3734</v>
      </c>
      <c r="E31">
        <v>32.64</v>
      </c>
      <c r="F31">
        <v>200.3</v>
      </c>
    </row>
    <row r="32" spans="1:6">
      <c r="A32">
        <v>2022</v>
      </c>
      <c r="B32" t="s">
        <v>7</v>
      </c>
      <c r="C32" t="s">
        <v>16</v>
      </c>
      <c r="D32">
        <v>4005</v>
      </c>
      <c r="E32">
        <v>16.35</v>
      </c>
      <c r="F32">
        <v>245.92</v>
      </c>
    </row>
    <row r="33" spans="1:6">
      <c r="A33">
        <v>2022</v>
      </c>
      <c r="B33" t="s">
        <v>7</v>
      </c>
      <c r="C33" t="s">
        <v>17</v>
      </c>
      <c r="D33">
        <v>5658</v>
      </c>
      <c r="E33">
        <v>14.81</v>
      </c>
      <c r="F33">
        <v>315.35</v>
      </c>
    </row>
    <row r="34" spans="1:6">
      <c r="A34">
        <v>2022</v>
      </c>
      <c r="B34" t="s">
        <v>7</v>
      </c>
      <c r="C34" t="s">
        <v>8</v>
      </c>
      <c r="D34">
        <v>2899</v>
      </c>
      <c r="E34">
        <v>23.68</v>
      </c>
      <c r="F34">
        <v>184.18</v>
      </c>
    </row>
    <row r="35" spans="1:6">
      <c r="A35">
        <v>2022</v>
      </c>
      <c r="B35" t="s">
        <v>18</v>
      </c>
      <c r="C35" t="s">
        <v>9</v>
      </c>
      <c r="D35">
        <v>8734</v>
      </c>
      <c r="E35">
        <v>13.67</v>
      </c>
      <c r="F35">
        <v>436.6</v>
      </c>
    </row>
    <row r="36" spans="1:6">
      <c r="A36">
        <v>2022</v>
      </c>
      <c r="B36" t="s">
        <v>18</v>
      </c>
      <c r="C36" t="s">
        <v>10</v>
      </c>
      <c r="D36">
        <v>2267</v>
      </c>
      <c r="E36">
        <v>13.77</v>
      </c>
      <c r="F36">
        <v>131.87</v>
      </c>
    </row>
    <row r="37" spans="1:6">
      <c r="A37">
        <v>2022</v>
      </c>
      <c r="B37" t="s">
        <v>18</v>
      </c>
      <c r="C37" t="s">
        <v>11</v>
      </c>
      <c r="D37">
        <v>2528</v>
      </c>
      <c r="E37">
        <v>22.46</v>
      </c>
      <c r="F37">
        <v>106.68</v>
      </c>
    </row>
    <row r="38" spans="1:6">
      <c r="A38">
        <v>2022</v>
      </c>
      <c r="B38" t="s">
        <v>18</v>
      </c>
      <c r="C38" t="s">
        <v>12</v>
      </c>
      <c r="D38">
        <v>4556</v>
      </c>
      <c r="E38">
        <v>49.18</v>
      </c>
      <c r="F38">
        <v>258.72</v>
      </c>
    </row>
    <row r="39" spans="1:6">
      <c r="A39">
        <v>2022</v>
      </c>
      <c r="B39" t="s">
        <v>18</v>
      </c>
      <c r="C39" t="s">
        <v>13</v>
      </c>
      <c r="D39">
        <v>4890</v>
      </c>
      <c r="E39">
        <v>17.01</v>
      </c>
      <c r="F39">
        <v>313.76</v>
      </c>
    </row>
    <row r="40" spans="1:6">
      <c r="A40">
        <v>2022</v>
      </c>
      <c r="B40" t="s">
        <v>18</v>
      </c>
      <c r="C40" t="s">
        <v>14</v>
      </c>
      <c r="D40">
        <v>9838</v>
      </c>
      <c r="E40">
        <v>10.69</v>
      </c>
      <c r="F40">
        <v>541.61</v>
      </c>
    </row>
    <row r="41" spans="1:6">
      <c r="A41">
        <v>2022</v>
      </c>
      <c r="B41" t="s">
        <v>18</v>
      </c>
      <c r="C41" t="s">
        <v>15</v>
      </c>
      <c r="D41">
        <v>6393</v>
      </c>
      <c r="E41">
        <v>40.53</v>
      </c>
      <c r="F41">
        <v>300.76</v>
      </c>
    </row>
    <row r="42" spans="1:6">
      <c r="A42">
        <v>2022</v>
      </c>
      <c r="B42" t="s">
        <v>18</v>
      </c>
      <c r="C42" t="s">
        <v>16</v>
      </c>
      <c r="D42">
        <v>9792</v>
      </c>
      <c r="E42">
        <v>42.28</v>
      </c>
      <c r="F42">
        <v>536.67</v>
      </c>
    </row>
    <row r="43" spans="1:6">
      <c r="A43">
        <v>2022</v>
      </c>
      <c r="B43" t="s">
        <v>18</v>
      </c>
      <c r="C43" t="s">
        <v>17</v>
      </c>
      <c r="D43">
        <v>9433</v>
      </c>
      <c r="E43">
        <v>23.85</v>
      </c>
      <c r="F43">
        <v>480.94</v>
      </c>
    </row>
    <row r="44" spans="1:6">
      <c r="A44">
        <v>2022</v>
      </c>
      <c r="B44" t="s">
        <v>18</v>
      </c>
      <c r="C44" t="s">
        <v>8</v>
      </c>
      <c r="D44">
        <v>8513</v>
      </c>
      <c r="E44">
        <v>28.59</v>
      </c>
      <c r="F44">
        <v>437.08</v>
      </c>
    </row>
    <row r="45" spans="1:6">
      <c r="A45">
        <v>2022</v>
      </c>
      <c r="B45" t="s">
        <v>18</v>
      </c>
      <c r="C45" t="s">
        <v>9</v>
      </c>
      <c r="D45">
        <v>3612</v>
      </c>
      <c r="E45">
        <v>35.99</v>
      </c>
      <c r="F45">
        <v>190.6</v>
      </c>
    </row>
    <row r="46" spans="1:6">
      <c r="A46">
        <v>2022</v>
      </c>
      <c r="B46" t="s">
        <v>18</v>
      </c>
      <c r="C46" t="s">
        <v>10</v>
      </c>
      <c r="D46">
        <v>8041</v>
      </c>
      <c r="E46">
        <v>11.92</v>
      </c>
      <c r="F46">
        <v>446.77</v>
      </c>
    </row>
    <row r="47" spans="1:6">
      <c r="A47">
        <v>2022</v>
      </c>
      <c r="B47" t="s">
        <v>18</v>
      </c>
      <c r="C47" t="s">
        <v>11</v>
      </c>
      <c r="D47">
        <v>7235</v>
      </c>
      <c r="E47">
        <v>47.97</v>
      </c>
      <c r="F47">
        <v>367.07</v>
      </c>
    </row>
    <row r="48" spans="1:6">
      <c r="A48">
        <v>2022</v>
      </c>
      <c r="B48" t="s">
        <v>18</v>
      </c>
      <c r="C48" t="s">
        <v>12</v>
      </c>
      <c r="D48">
        <v>6486</v>
      </c>
      <c r="E48">
        <v>45.47</v>
      </c>
      <c r="F48">
        <v>333.42</v>
      </c>
    </row>
    <row r="49" spans="1:6">
      <c r="A49">
        <v>2022</v>
      </c>
      <c r="B49" t="s">
        <v>18</v>
      </c>
      <c r="C49" t="s">
        <v>13</v>
      </c>
      <c r="D49">
        <v>8099</v>
      </c>
      <c r="E49">
        <v>20.44</v>
      </c>
      <c r="F49">
        <v>427.54</v>
      </c>
    </row>
    <row r="50" spans="1:6">
      <c r="A50">
        <v>2022</v>
      </c>
      <c r="B50" t="s">
        <v>18</v>
      </c>
      <c r="C50" t="s">
        <v>14</v>
      </c>
      <c r="D50">
        <v>1775</v>
      </c>
      <c r="E50">
        <v>10.61</v>
      </c>
      <c r="F50">
        <v>139.38</v>
      </c>
    </row>
    <row r="51" spans="1:6">
      <c r="A51">
        <v>2022</v>
      </c>
      <c r="B51" t="s">
        <v>18</v>
      </c>
      <c r="C51" t="s">
        <v>15</v>
      </c>
      <c r="D51">
        <v>9226</v>
      </c>
      <c r="E51">
        <v>47.34</v>
      </c>
      <c r="F51">
        <v>450.71</v>
      </c>
    </row>
    <row r="52" spans="1:6">
      <c r="A52">
        <v>2022</v>
      </c>
      <c r="B52" t="s">
        <v>18</v>
      </c>
      <c r="C52" t="s">
        <v>16</v>
      </c>
      <c r="D52">
        <v>4152</v>
      </c>
      <c r="E52">
        <v>30.04</v>
      </c>
      <c r="F52">
        <v>233.14</v>
      </c>
    </row>
    <row r="53" spans="1:6">
      <c r="A53">
        <v>2022</v>
      </c>
      <c r="B53" t="s">
        <v>18</v>
      </c>
      <c r="C53" t="s">
        <v>17</v>
      </c>
      <c r="D53">
        <v>2585</v>
      </c>
      <c r="E53">
        <v>31.58</v>
      </c>
      <c r="F53">
        <v>151.31</v>
      </c>
    </row>
    <row r="54" spans="1:6">
      <c r="A54">
        <v>2022</v>
      </c>
      <c r="B54" t="s">
        <v>18</v>
      </c>
      <c r="C54" t="s">
        <v>8</v>
      </c>
      <c r="D54">
        <v>4943</v>
      </c>
      <c r="E54">
        <v>37.36</v>
      </c>
      <c r="F54">
        <v>267.58</v>
      </c>
    </row>
    <row r="55" spans="1:6">
      <c r="A55">
        <v>2022</v>
      </c>
      <c r="B55" t="s">
        <v>18</v>
      </c>
      <c r="C55" t="s">
        <v>9</v>
      </c>
      <c r="D55">
        <v>8555</v>
      </c>
      <c r="E55">
        <v>34.63</v>
      </c>
      <c r="F55">
        <v>448.95</v>
      </c>
    </row>
    <row r="56" spans="1:6">
      <c r="A56">
        <v>2022</v>
      </c>
      <c r="B56" t="s">
        <v>18</v>
      </c>
      <c r="C56" t="s">
        <v>10</v>
      </c>
      <c r="D56">
        <v>4073</v>
      </c>
      <c r="E56">
        <v>47.76</v>
      </c>
      <c r="F56">
        <v>187.49</v>
      </c>
    </row>
    <row r="57" spans="1:6">
      <c r="A57">
        <v>2022</v>
      </c>
      <c r="B57" t="s">
        <v>18</v>
      </c>
      <c r="C57" t="s">
        <v>11</v>
      </c>
      <c r="D57">
        <v>2021</v>
      </c>
      <c r="E57">
        <v>47.77</v>
      </c>
      <c r="F57">
        <v>102.9</v>
      </c>
    </row>
    <row r="58" spans="1:6">
      <c r="A58">
        <v>2022</v>
      </c>
      <c r="B58" t="s">
        <v>18</v>
      </c>
      <c r="C58" t="s">
        <v>12</v>
      </c>
      <c r="D58">
        <v>4843</v>
      </c>
      <c r="E58">
        <v>44.69</v>
      </c>
      <c r="F58">
        <v>251.59</v>
      </c>
    </row>
    <row r="59" spans="1:6">
      <c r="A59">
        <v>2022</v>
      </c>
      <c r="B59" t="s">
        <v>18</v>
      </c>
      <c r="C59" t="s">
        <v>13</v>
      </c>
      <c r="D59">
        <v>8989</v>
      </c>
      <c r="E59">
        <v>35.46</v>
      </c>
      <c r="F59">
        <v>431.08</v>
      </c>
    </row>
    <row r="60" spans="1:6">
      <c r="A60">
        <v>2022</v>
      </c>
      <c r="B60" t="s">
        <v>18</v>
      </c>
      <c r="C60" t="s">
        <v>14</v>
      </c>
      <c r="D60">
        <v>7873</v>
      </c>
      <c r="E60">
        <v>42.04</v>
      </c>
      <c r="F60">
        <v>387.72</v>
      </c>
    </row>
    <row r="61" spans="1:6">
      <c r="A61">
        <v>2022</v>
      </c>
      <c r="B61" t="s">
        <v>18</v>
      </c>
      <c r="C61" t="s">
        <v>15</v>
      </c>
      <c r="D61">
        <v>6675</v>
      </c>
      <c r="E61">
        <v>37.09</v>
      </c>
      <c r="F61">
        <v>351.41</v>
      </c>
    </row>
    <row r="62" spans="1:6">
      <c r="A62">
        <v>2022</v>
      </c>
      <c r="B62" t="s">
        <v>18</v>
      </c>
      <c r="C62" t="s">
        <v>16</v>
      </c>
      <c r="D62">
        <v>1161</v>
      </c>
      <c r="E62">
        <v>32.93</v>
      </c>
      <c r="F62">
        <v>102.71</v>
      </c>
    </row>
    <row r="63" spans="1:6">
      <c r="A63">
        <v>2022</v>
      </c>
      <c r="B63" t="s">
        <v>19</v>
      </c>
      <c r="C63" t="s">
        <v>17</v>
      </c>
      <c r="D63">
        <v>5297</v>
      </c>
      <c r="E63">
        <v>15.14</v>
      </c>
      <c r="F63">
        <v>313.18</v>
      </c>
    </row>
    <row r="64" spans="1:6">
      <c r="A64">
        <v>2022</v>
      </c>
      <c r="B64" t="s">
        <v>19</v>
      </c>
      <c r="C64" t="s">
        <v>8</v>
      </c>
      <c r="D64">
        <v>1995</v>
      </c>
      <c r="E64">
        <v>42.45</v>
      </c>
      <c r="F64">
        <v>134.26</v>
      </c>
    </row>
    <row r="65" spans="1:6">
      <c r="A65">
        <v>2022</v>
      </c>
      <c r="B65" t="s">
        <v>19</v>
      </c>
      <c r="C65" t="s">
        <v>9</v>
      </c>
      <c r="D65">
        <v>8629</v>
      </c>
      <c r="E65">
        <v>42.83</v>
      </c>
      <c r="F65">
        <v>422.09</v>
      </c>
    </row>
    <row r="66" spans="1:6">
      <c r="A66">
        <v>2022</v>
      </c>
      <c r="B66" t="s">
        <v>19</v>
      </c>
      <c r="C66" t="s">
        <v>10</v>
      </c>
      <c r="D66">
        <v>2016</v>
      </c>
      <c r="E66">
        <v>35.04</v>
      </c>
      <c r="F66">
        <v>113.76</v>
      </c>
    </row>
    <row r="67" spans="1:6">
      <c r="A67">
        <v>2022</v>
      </c>
      <c r="B67" t="s">
        <v>19</v>
      </c>
      <c r="C67" t="s">
        <v>11</v>
      </c>
      <c r="D67">
        <v>8869</v>
      </c>
      <c r="E67">
        <v>42.82</v>
      </c>
      <c r="F67">
        <v>458.18</v>
      </c>
    </row>
    <row r="68" spans="1:6">
      <c r="A68">
        <v>2022</v>
      </c>
      <c r="B68" t="s">
        <v>19</v>
      </c>
      <c r="C68" t="s">
        <v>12</v>
      </c>
      <c r="D68">
        <v>7439</v>
      </c>
      <c r="E68">
        <v>36.06</v>
      </c>
      <c r="F68">
        <v>332.15</v>
      </c>
    </row>
    <row r="69" spans="1:6">
      <c r="A69">
        <v>2022</v>
      </c>
      <c r="B69" t="s">
        <v>19</v>
      </c>
      <c r="C69" t="s">
        <v>13</v>
      </c>
      <c r="D69">
        <v>8892</v>
      </c>
      <c r="E69">
        <v>18.27</v>
      </c>
      <c r="F69">
        <v>502.9</v>
      </c>
    </row>
    <row r="70" spans="1:6">
      <c r="A70">
        <v>2022</v>
      </c>
      <c r="B70" t="s">
        <v>19</v>
      </c>
      <c r="C70" t="s">
        <v>14</v>
      </c>
      <c r="D70">
        <v>7863</v>
      </c>
      <c r="E70">
        <v>20.96</v>
      </c>
      <c r="F70">
        <v>380.78</v>
      </c>
    </row>
    <row r="71" spans="1:6">
      <c r="A71">
        <v>2022</v>
      </c>
      <c r="B71" t="s">
        <v>19</v>
      </c>
      <c r="C71" t="s">
        <v>15</v>
      </c>
      <c r="D71">
        <v>8916</v>
      </c>
      <c r="E71">
        <v>18.58</v>
      </c>
      <c r="F71">
        <v>493.44</v>
      </c>
    </row>
    <row r="72" spans="1:6">
      <c r="A72">
        <v>2022</v>
      </c>
      <c r="B72" t="s">
        <v>19</v>
      </c>
      <c r="C72" t="s">
        <v>16</v>
      </c>
      <c r="D72">
        <v>9529</v>
      </c>
      <c r="E72">
        <v>25.09</v>
      </c>
      <c r="F72">
        <v>510.08</v>
      </c>
    </row>
    <row r="73" spans="1:6">
      <c r="A73">
        <v>2022</v>
      </c>
      <c r="B73" t="s">
        <v>19</v>
      </c>
      <c r="C73" t="s">
        <v>17</v>
      </c>
      <c r="D73">
        <v>1878</v>
      </c>
      <c r="E73">
        <v>11.56</v>
      </c>
      <c r="F73">
        <v>83.24</v>
      </c>
    </row>
    <row r="74" spans="1:6">
      <c r="A74">
        <v>2022</v>
      </c>
      <c r="B74" t="s">
        <v>19</v>
      </c>
      <c r="C74" t="s">
        <v>8</v>
      </c>
      <c r="D74">
        <v>5887</v>
      </c>
      <c r="E74">
        <v>34.73</v>
      </c>
      <c r="F74">
        <v>256.89</v>
      </c>
    </row>
    <row r="75" spans="1:6">
      <c r="A75">
        <v>2022</v>
      </c>
      <c r="B75" t="s">
        <v>19</v>
      </c>
      <c r="C75" t="s">
        <v>9</v>
      </c>
      <c r="D75">
        <v>5859</v>
      </c>
      <c r="E75">
        <v>23.46</v>
      </c>
      <c r="F75">
        <v>343.45</v>
      </c>
    </row>
    <row r="76" spans="1:6">
      <c r="A76">
        <v>2022</v>
      </c>
      <c r="B76" t="s">
        <v>19</v>
      </c>
      <c r="C76" t="s">
        <v>10</v>
      </c>
      <c r="D76">
        <v>7331</v>
      </c>
      <c r="E76">
        <v>36.23</v>
      </c>
      <c r="F76">
        <v>397.37</v>
      </c>
    </row>
    <row r="77" spans="1:6">
      <c r="A77">
        <v>2022</v>
      </c>
      <c r="B77" t="s">
        <v>19</v>
      </c>
      <c r="C77" t="s">
        <v>11</v>
      </c>
      <c r="D77">
        <v>9571</v>
      </c>
      <c r="E77">
        <v>25.42</v>
      </c>
      <c r="F77">
        <v>480.43</v>
      </c>
    </row>
    <row r="78" spans="1:6">
      <c r="A78">
        <v>2022</v>
      </c>
      <c r="B78" t="s">
        <v>19</v>
      </c>
      <c r="C78" t="s">
        <v>12</v>
      </c>
      <c r="D78">
        <v>9684</v>
      </c>
      <c r="E78">
        <v>37.26</v>
      </c>
      <c r="F78">
        <v>471.84</v>
      </c>
    </row>
    <row r="79" spans="1:6">
      <c r="A79">
        <v>2022</v>
      </c>
      <c r="B79" t="s">
        <v>19</v>
      </c>
      <c r="C79" t="s">
        <v>13</v>
      </c>
      <c r="D79">
        <v>8208</v>
      </c>
      <c r="E79">
        <v>23.62</v>
      </c>
      <c r="F79">
        <v>442.3</v>
      </c>
    </row>
    <row r="80" spans="1:6">
      <c r="A80">
        <v>2022</v>
      </c>
      <c r="B80" t="s">
        <v>19</v>
      </c>
      <c r="C80" t="s">
        <v>14</v>
      </c>
      <c r="D80">
        <v>6276</v>
      </c>
      <c r="E80">
        <v>20.43</v>
      </c>
      <c r="F80">
        <v>339.03</v>
      </c>
    </row>
    <row r="81" spans="1:6">
      <c r="A81">
        <v>2022</v>
      </c>
      <c r="B81" t="s">
        <v>19</v>
      </c>
      <c r="C81" t="s">
        <v>15</v>
      </c>
      <c r="D81">
        <v>3062</v>
      </c>
      <c r="E81">
        <v>29.84</v>
      </c>
      <c r="F81">
        <v>188.38</v>
      </c>
    </row>
    <row r="82" spans="1:6">
      <c r="A82">
        <v>2022</v>
      </c>
      <c r="B82" t="s">
        <v>19</v>
      </c>
      <c r="C82" t="s">
        <v>16</v>
      </c>
      <c r="D82">
        <v>1064</v>
      </c>
      <c r="E82">
        <v>37.72</v>
      </c>
      <c r="F82">
        <v>67.53</v>
      </c>
    </row>
    <row r="83" spans="1:6">
      <c r="A83">
        <v>2022</v>
      </c>
      <c r="B83" t="s">
        <v>19</v>
      </c>
      <c r="C83" t="s">
        <v>17</v>
      </c>
      <c r="D83">
        <v>9006</v>
      </c>
      <c r="E83">
        <v>23.93</v>
      </c>
      <c r="F83">
        <v>503.24</v>
      </c>
    </row>
    <row r="84" spans="1:6">
      <c r="A84">
        <v>2022</v>
      </c>
      <c r="B84" t="s">
        <v>19</v>
      </c>
      <c r="C84" t="s">
        <v>8</v>
      </c>
      <c r="D84">
        <v>3568</v>
      </c>
      <c r="E84">
        <v>47.47</v>
      </c>
      <c r="F84">
        <v>190.84</v>
      </c>
    </row>
    <row r="85" spans="1:6">
      <c r="A85">
        <v>2022</v>
      </c>
      <c r="B85" t="s">
        <v>19</v>
      </c>
      <c r="C85" t="s">
        <v>9</v>
      </c>
      <c r="D85">
        <v>6463</v>
      </c>
      <c r="E85">
        <v>11.57</v>
      </c>
      <c r="F85">
        <v>373.68</v>
      </c>
    </row>
    <row r="86" spans="1:6">
      <c r="A86">
        <v>2022</v>
      </c>
      <c r="B86" t="s">
        <v>19</v>
      </c>
      <c r="C86" t="s">
        <v>10</v>
      </c>
      <c r="D86">
        <v>3027</v>
      </c>
      <c r="E86">
        <v>26.72</v>
      </c>
      <c r="F86">
        <v>162.25</v>
      </c>
    </row>
    <row r="87" spans="1:6">
      <c r="A87">
        <v>2022</v>
      </c>
      <c r="B87" t="s">
        <v>19</v>
      </c>
      <c r="C87" t="s">
        <v>11</v>
      </c>
      <c r="D87">
        <v>3695</v>
      </c>
      <c r="E87">
        <v>48.7</v>
      </c>
      <c r="F87">
        <v>167.8</v>
      </c>
    </row>
    <row r="88" spans="1:6">
      <c r="A88">
        <v>2022</v>
      </c>
      <c r="B88" t="s">
        <v>19</v>
      </c>
      <c r="C88" t="s">
        <v>12</v>
      </c>
      <c r="D88">
        <v>6258</v>
      </c>
      <c r="E88">
        <v>31.92</v>
      </c>
      <c r="F88">
        <v>323.56</v>
      </c>
    </row>
    <row r="89" spans="1:6">
      <c r="A89">
        <v>2022</v>
      </c>
      <c r="B89" t="s">
        <v>19</v>
      </c>
      <c r="C89" t="s">
        <v>13</v>
      </c>
      <c r="D89">
        <v>6618</v>
      </c>
      <c r="E89">
        <v>26.94</v>
      </c>
      <c r="F89">
        <v>385.39</v>
      </c>
    </row>
    <row r="90" spans="1:6">
      <c r="A90">
        <v>2022</v>
      </c>
      <c r="B90" t="s">
        <v>19</v>
      </c>
      <c r="C90" t="s">
        <v>14</v>
      </c>
      <c r="D90">
        <v>7736</v>
      </c>
      <c r="E90">
        <v>32.74</v>
      </c>
      <c r="F90">
        <v>389.39</v>
      </c>
    </row>
    <row r="91" spans="1:6">
      <c r="A91">
        <v>2022</v>
      </c>
      <c r="B91" t="s">
        <v>19</v>
      </c>
      <c r="C91" t="s">
        <v>15</v>
      </c>
      <c r="D91">
        <v>1391</v>
      </c>
      <c r="E91">
        <v>33.04</v>
      </c>
      <c r="F91">
        <v>85.12</v>
      </c>
    </row>
    <row r="92" spans="1:6">
      <c r="A92">
        <v>2022</v>
      </c>
      <c r="B92" t="s">
        <v>19</v>
      </c>
      <c r="C92" t="s">
        <v>16</v>
      </c>
      <c r="D92">
        <v>6892</v>
      </c>
      <c r="E92">
        <v>39.27</v>
      </c>
      <c r="F92">
        <v>302.58</v>
      </c>
    </row>
    <row r="93" spans="1:6">
      <c r="A93">
        <v>2022</v>
      </c>
      <c r="B93" t="s">
        <v>19</v>
      </c>
      <c r="C93" t="s">
        <v>17</v>
      </c>
      <c r="D93">
        <v>4561</v>
      </c>
      <c r="E93">
        <v>15.11</v>
      </c>
      <c r="F93">
        <v>273.44</v>
      </c>
    </row>
    <row r="94" spans="1:6">
      <c r="A94">
        <v>2022</v>
      </c>
      <c r="B94" t="s">
        <v>20</v>
      </c>
      <c r="C94" t="s">
        <v>8</v>
      </c>
      <c r="D94">
        <v>7184</v>
      </c>
      <c r="E94">
        <v>20</v>
      </c>
      <c r="F94">
        <v>430.34</v>
      </c>
    </row>
    <row r="95" spans="1:6">
      <c r="A95">
        <v>2022</v>
      </c>
      <c r="B95" t="s">
        <v>20</v>
      </c>
      <c r="C95" t="s">
        <v>9</v>
      </c>
      <c r="D95">
        <v>4099</v>
      </c>
      <c r="E95">
        <v>33.22</v>
      </c>
      <c r="F95">
        <v>196.41</v>
      </c>
    </row>
    <row r="96" spans="1:6">
      <c r="A96">
        <v>2022</v>
      </c>
      <c r="B96" t="s">
        <v>20</v>
      </c>
      <c r="C96" t="s">
        <v>10</v>
      </c>
      <c r="D96">
        <v>7278</v>
      </c>
      <c r="E96">
        <v>44.68</v>
      </c>
      <c r="F96">
        <v>423.77</v>
      </c>
    </row>
    <row r="97" spans="1:6">
      <c r="A97">
        <v>2022</v>
      </c>
      <c r="B97" t="s">
        <v>20</v>
      </c>
      <c r="C97" t="s">
        <v>11</v>
      </c>
      <c r="D97">
        <v>9392</v>
      </c>
      <c r="E97">
        <v>32.47</v>
      </c>
      <c r="F97">
        <v>484.28</v>
      </c>
    </row>
    <row r="98" spans="1:6">
      <c r="A98">
        <v>2022</v>
      </c>
      <c r="B98" t="s">
        <v>20</v>
      </c>
      <c r="C98" t="s">
        <v>12</v>
      </c>
      <c r="D98">
        <v>4104</v>
      </c>
      <c r="E98">
        <v>19.54</v>
      </c>
      <c r="F98">
        <v>180.29</v>
      </c>
    </row>
    <row r="99" spans="1:6">
      <c r="A99">
        <v>2022</v>
      </c>
      <c r="B99" t="s">
        <v>20</v>
      </c>
      <c r="C99" t="s">
        <v>13</v>
      </c>
      <c r="D99">
        <v>8215</v>
      </c>
      <c r="E99">
        <v>37.19</v>
      </c>
      <c r="F99">
        <v>408.41</v>
      </c>
    </row>
    <row r="100" spans="1:6">
      <c r="A100">
        <v>2022</v>
      </c>
      <c r="B100" t="s">
        <v>20</v>
      </c>
      <c r="C100" t="s">
        <v>14</v>
      </c>
      <c r="D100">
        <v>3454</v>
      </c>
      <c r="E100">
        <v>39.6</v>
      </c>
      <c r="F100">
        <v>201.79</v>
      </c>
    </row>
    <row r="101" spans="1:6">
      <c r="A101">
        <v>2022</v>
      </c>
      <c r="B101" t="s">
        <v>20</v>
      </c>
      <c r="C101" t="s">
        <v>15</v>
      </c>
      <c r="D101">
        <v>9996</v>
      </c>
      <c r="E101">
        <v>19.53</v>
      </c>
      <c r="F101">
        <v>566.35</v>
      </c>
    </row>
    <row r="102" spans="1:6">
      <c r="A102">
        <v>2022</v>
      </c>
      <c r="B102" t="s">
        <v>20</v>
      </c>
      <c r="C102" t="s">
        <v>16</v>
      </c>
      <c r="D102">
        <v>3731</v>
      </c>
      <c r="E102">
        <v>25.11</v>
      </c>
      <c r="F102">
        <v>220.78</v>
      </c>
    </row>
    <row r="103" spans="1:6">
      <c r="A103">
        <v>2022</v>
      </c>
      <c r="B103" t="s">
        <v>20</v>
      </c>
      <c r="C103" t="s">
        <v>17</v>
      </c>
      <c r="D103">
        <v>9154</v>
      </c>
      <c r="E103">
        <v>31.37</v>
      </c>
      <c r="F103">
        <v>501.4</v>
      </c>
    </row>
    <row r="104" spans="1:6">
      <c r="A104">
        <v>2022</v>
      </c>
      <c r="B104" t="s">
        <v>20</v>
      </c>
      <c r="C104" t="s">
        <v>8</v>
      </c>
      <c r="D104">
        <v>6056</v>
      </c>
      <c r="E104">
        <v>29.86</v>
      </c>
      <c r="F104">
        <v>293.41</v>
      </c>
    </row>
    <row r="105" spans="1:6">
      <c r="A105">
        <v>2022</v>
      </c>
      <c r="B105" t="s">
        <v>20</v>
      </c>
      <c r="C105" t="s">
        <v>9</v>
      </c>
      <c r="D105">
        <v>9110</v>
      </c>
      <c r="E105">
        <v>25.58</v>
      </c>
      <c r="F105">
        <v>461.19</v>
      </c>
    </row>
    <row r="106" spans="1:6">
      <c r="A106">
        <v>2022</v>
      </c>
      <c r="B106" t="s">
        <v>20</v>
      </c>
      <c r="C106" t="s">
        <v>10</v>
      </c>
      <c r="D106">
        <v>4840</v>
      </c>
      <c r="E106">
        <v>21.91</v>
      </c>
      <c r="F106">
        <v>232.12</v>
      </c>
    </row>
    <row r="107" spans="1:6">
      <c r="A107">
        <v>2022</v>
      </c>
      <c r="B107" t="s">
        <v>20</v>
      </c>
      <c r="C107" t="s">
        <v>11</v>
      </c>
      <c r="D107">
        <v>2028</v>
      </c>
      <c r="E107">
        <v>14</v>
      </c>
      <c r="F107">
        <v>122.5</v>
      </c>
    </row>
    <row r="108" spans="1:6">
      <c r="A108">
        <v>2022</v>
      </c>
      <c r="B108" t="s">
        <v>20</v>
      </c>
      <c r="C108" t="s">
        <v>12</v>
      </c>
      <c r="D108">
        <v>8385</v>
      </c>
      <c r="E108">
        <v>12.14</v>
      </c>
      <c r="F108">
        <v>469.92</v>
      </c>
    </row>
    <row r="109" spans="1:6">
      <c r="A109">
        <v>2022</v>
      </c>
      <c r="B109" t="s">
        <v>20</v>
      </c>
      <c r="C109" t="s">
        <v>13</v>
      </c>
      <c r="D109">
        <v>1502</v>
      </c>
      <c r="E109">
        <v>48.34</v>
      </c>
      <c r="F109">
        <v>71.34</v>
      </c>
    </row>
    <row r="110" spans="1:6">
      <c r="A110">
        <v>2022</v>
      </c>
      <c r="B110" t="s">
        <v>20</v>
      </c>
      <c r="C110" t="s">
        <v>14</v>
      </c>
      <c r="D110">
        <v>7910</v>
      </c>
      <c r="E110">
        <v>43.89</v>
      </c>
      <c r="F110">
        <v>410.19</v>
      </c>
    </row>
    <row r="111" spans="1:6">
      <c r="A111">
        <v>2022</v>
      </c>
      <c r="B111" t="s">
        <v>20</v>
      </c>
      <c r="C111" t="s">
        <v>15</v>
      </c>
      <c r="D111">
        <v>7938</v>
      </c>
      <c r="E111">
        <v>24.2</v>
      </c>
      <c r="F111">
        <v>399.13</v>
      </c>
    </row>
    <row r="112" spans="1:6">
      <c r="A112">
        <v>2022</v>
      </c>
      <c r="B112" t="s">
        <v>20</v>
      </c>
      <c r="C112" t="s">
        <v>16</v>
      </c>
      <c r="D112">
        <v>5488</v>
      </c>
      <c r="E112">
        <v>48.27</v>
      </c>
      <c r="F112">
        <v>248.96</v>
      </c>
    </row>
    <row r="113" spans="1:6">
      <c r="A113">
        <v>2022</v>
      </c>
      <c r="B113" t="s">
        <v>20</v>
      </c>
      <c r="C113" t="s">
        <v>17</v>
      </c>
      <c r="D113">
        <v>1206</v>
      </c>
      <c r="E113">
        <v>37.07</v>
      </c>
      <c r="F113">
        <v>69.91</v>
      </c>
    </row>
    <row r="114" spans="1:6">
      <c r="A114">
        <v>2022</v>
      </c>
      <c r="B114" t="s">
        <v>20</v>
      </c>
      <c r="C114" t="s">
        <v>8</v>
      </c>
      <c r="D114">
        <v>6134</v>
      </c>
      <c r="E114">
        <v>29.3</v>
      </c>
      <c r="F114">
        <v>309.49</v>
      </c>
    </row>
    <row r="115" spans="1:6">
      <c r="A115">
        <v>2022</v>
      </c>
      <c r="B115" t="s">
        <v>20</v>
      </c>
      <c r="C115" t="s">
        <v>9</v>
      </c>
      <c r="D115">
        <v>6977</v>
      </c>
      <c r="E115">
        <v>29.72</v>
      </c>
      <c r="F115">
        <v>389.22</v>
      </c>
    </row>
    <row r="116" spans="1:6">
      <c r="A116">
        <v>2022</v>
      </c>
      <c r="B116" t="s">
        <v>20</v>
      </c>
      <c r="C116" t="s">
        <v>10</v>
      </c>
      <c r="D116">
        <v>8721</v>
      </c>
      <c r="E116">
        <v>13.33</v>
      </c>
      <c r="F116">
        <v>457.5</v>
      </c>
    </row>
    <row r="117" spans="1:6">
      <c r="A117">
        <v>2022</v>
      </c>
      <c r="B117" t="s">
        <v>20</v>
      </c>
      <c r="C117" t="s">
        <v>11</v>
      </c>
      <c r="D117">
        <v>8035</v>
      </c>
      <c r="E117">
        <v>13.67</v>
      </c>
      <c r="F117">
        <v>425.44</v>
      </c>
    </row>
    <row r="118" spans="1:6">
      <c r="A118">
        <v>2022</v>
      </c>
      <c r="B118" t="s">
        <v>20</v>
      </c>
      <c r="C118" t="s">
        <v>12</v>
      </c>
      <c r="D118">
        <v>2484</v>
      </c>
      <c r="E118">
        <v>34.1</v>
      </c>
      <c r="F118">
        <v>141.66</v>
      </c>
    </row>
    <row r="119" spans="1:6">
      <c r="A119">
        <v>2022</v>
      </c>
      <c r="B119" t="s">
        <v>20</v>
      </c>
      <c r="C119" t="s">
        <v>13</v>
      </c>
      <c r="D119">
        <v>8858</v>
      </c>
      <c r="E119">
        <v>32.15</v>
      </c>
      <c r="F119">
        <v>446.54</v>
      </c>
    </row>
    <row r="120" spans="1:6">
      <c r="A120">
        <v>2022</v>
      </c>
      <c r="B120" t="s">
        <v>20</v>
      </c>
      <c r="C120" t="s">
        <v>14</v>
      </c>
      <c r="D120">
        <v>1863</v>
      </c>
      <c r="E120">
        <v>18.51</v>
      </c>
      <c r="F120">
        <v>96.24</v>
      </c>
    </row>
    <row r="121" spans="1:6">
      <c r="A121">
        <v>2022</v>
      </c>
      <c r="B121" t="s">
        <v>20</v>
      </c>
      <c r="C121" t="s">
        <v>15</v>
      </c>
      <c r="D121">
        <v>3790</v>
      </c>
      <c r="E121">
        <v>47.85</v>
      </c>
      <c r="F121">
        <v>160.1</v>
      </c>
    </row>
    <row r="122" spans="1:6">
      <c r="A122">
        <v>2022</v>
      </c>
      <c r="B122" t="s">
        <v>20</v>
      </c>
      <c r="C122" t="s">
        <v>16</v>
      </c>
      <c r="D122">
        <v>8408</v>
      </c>
      <c r="E122">
        <v>41.25</v>
      </c>
      <c r="F122">
        <v>431.65</v>
      </c>
    </row>
    <row r="123" spans="1:6">
      <c r="A123">
        <v>2022</v>
      </c>
      <c r="B123" t="s">
        <v>20</v>
      </c>
      <c r="C123" t="s">
        <v>17</v>
      </c>
      <c r="D123">
        <v>9755</v>
      </c>
      <c r="E123">
        <v>14.54</v>
      </c>
      <c r="F123">
        <v>493.13</v>
      </c>
    </row>
    <row r="124" spans="1:6">
      <c r="A124">
        <v>2022</v>
      </c>
      <c r="B124" t="s">
        <v>21</v>
      </c>
      <c r="C124" t="s">
        <v>8</v>
      </c>
      <c r="D124">
        <v>6116</v>
      </c>
      <c r="E124">
        <v>47.24</v>
      </c>
      <c r="F124">
        <v>327.06</v>
      </c>
    </row>
    <row r="125" spans="1:6">
      <c r="A125">
        <v>2022</v>
      </c>
      <c r="B125" t="s">
        <v>21</v>
      </c>
      <c r="C125" t="s">
        <v>9</v>
      </c>
      <c r="D125">
        <v>7019</v>
      </c>
      <c r="E125">
        <v>48.97</v>
      </c>
      <c r="F125">
        <v>328.38</v>
      </c>
    </row>
    <row r="126" spans="1:6">
      <c r="A126">
        <v>2022</v>
      </c>
      <c r="B126" t="s">
        <v>21</v>
      </c>
      <c r="C126" t="s">
        <v>10</v>
      </c>
      <c r="D126">
        <v>2757</v>
      </c>
      <c r="E126">
        <v>49.84</v>
      </c>
      <c r="F126">
        <v>140.37</v>
      </c>
    </row>
    <row r="127" spans="1:6">
      <c r="A127">
        <v>2022</v>
      </c>
      <c r="B127" t="s">
        <v>21</v>
      </c>
      <c r="C127" t="s">
        <v>11</v>
      </c>
      <c r="D127">
        <v>8574</v>
      </c>
      <c r="E127">
        <v>12.23</v>
      </c>
      <c r="F127">
        <v>451.41</v>
      </c>
    </row>
    <row r="128" spans="1:6">
      <c r="A128">
        <v>2022</v>
      </c>
      <c r="B128" t="s">
        <v>21</v>
      </c>
      <c r="C128" t="s">
        <v>12</v>
      </c>
      <c r="D128">
        <v>7374</v>
      </c>
      <c r="E128">
        <v>39.48</v>
      </c>
      <c r="F128">
        <v>353.02</v>
      </c>
    </row>
    <row r="129" spans="1:6">
      <c r="A129">
        <v>2022</v>
      </c>
      <c r="B129" t="s">
        <v>21</v>
      </c>
      <c r="C129" t="s">
        <v>13</v>
      </c>
      <c r="D129">
        <v>7892</v>
      </c>
      <c r="E129">
        <v>31.84</v>
      </c>
      <c r="F129">
        <v>411.32</v>
      </c>
    </row>
    <row r="130" spans="1:6">
      <c r="A130">
        <v>2022</v>
      </c>
      <c r="B130" t="s">
        <v>21</v>
      </c>
      <c r="C130" t="s">
        <v>14</v>
      </c>
      <c r="D130">
        <v>2678</v>
      </c>
      <c r="E130">
        <v>38.23</v>
      </c>
      <c r="F130">
        <v>159.06</v>
      </c>
    </row>
    <row r="131" spans="1:6">
      <c r="A131">
        <v>2022</v>
      </c>
      <c r="B131" t="s">
        <v>21</v>
      </c>
      <c r="C131" t="s">
        <v>15</v>
      </c>
      <c r="D131">
        <v>4242</v>
      </c>
      <c r="E131">
        <v>48.75</v>
      </c>
      <c r="F131">
        <v>198.66</v>
      </c>
    </row>
    <row r="132" spans="1:6">
      <c r="A132">
        <v>2022</v>
      </c>
      <c r="B132" t="s">
        <v>21</v>
      </c>
      <c r="C132" t="s">
        <v>16</v>
      </c>
      <c r="D132">
        <v>5636</v>
      </c>
      <c r="E132">
        <v>37.52</v>
      </c>
      <c r="F132">
        <v>285.47</v>
      </c>
    </row>
    <row r="133" spans="1:6">
      <c r="A133">
        <v>2022</v>
      </c>
      <c r="B133" t="s">
        <v>21</v>
      </c>
      <c r="C133" t="s">
        <v>17</v>
      </c>
      <c r="D133">
        <v>2059</v>
      </c>
      <c r="E133">
        <v>43.48</v>
      </c>
      <c r="F133">
        <v>116.92</v>
      </c>
    </row>
    <row r="134" spans="1:6">
      <c r="A134">
        <v>2022</v>
      </c>
      <c r="B134" t="s">
        <v>21</v>
      </c>
      <c r="C134" t="s">
        <v>8</v>
      </c>
      <c r="D134">
        <v>7668</v>
      </c>
      <c r="E134">
        <v>44.67</v>
      </c>
      <c r="F134">
        <v>396.6</v>
      </c>
    </row>
    <row r="135" spans="1:6">
      <c r="A135">
        <v>2022</v>
      </c>
      <c r="B135" t="s">
        <v>21</v>
      </c>
      <c r="C135" t="s">
        <v>9</v>
      </c>
      <c r="D135">
        <v>4157</v>
      </c>
      <c r="E135">
        <v>43.54</v>
      </c>
      <c r="F135">
        <v>204.83</v>
      </c>
    </row>
    <row r="136" spans="1:6">
      <c r="A136">
        <v>2022</v>
      </c>
      <c r="B136" t="s">
        <v>21</v>
      </c>
      <c r="C136" t="s">
        <v>10</v>
      </c>
      <c r="D136">
        <v>6915</v>
      </c>
      <c r="E136">
        <v>27.04</v>
      </c>
      <c r="F136">
        <v>354.43</v>
      </c>
    </row>
    <row r="137" spans="1:6">
      <c r="A137">
        <v>2022</v>
      </c>
      <c r="B137" t="s">
        <v>21</v>
      </c>
      <c r="C137" t="s">
        <v>11</v>
      </c>
      <c r="D137">
        <v>3693</v>
      </c>
      <c r="E137">
        <v>18.9</v>
      </c>
      <c r="F137">
        <v>213.62</v>
      </c>
    </row>
    <row r="138" spans="1:6">
      <c r="A138">
        <v>2022</v>
      </c>
      <c r="B138" t="s">
        <v>21</v>
      </c>
      <c r="C138" t="s">
        <v>12</v>
      </c>
      <c r="D138">
        <v>4627</v>
      </c>
      <c r="E138">
        <v>25.87</v>
      </c>
      <c r="F138">
        <v>246.49</v>
      </c>
    </row>
    <row r="139" spans="1:6">
      <c r="A139">
        <v>2022</v>
      </c>
      <c r="B139" t="s">
        <v>21</v>
      </c>
      <c r="C139" t="s">
        <v>13</v>
      </c>
      <c r="D139">
        <v>6450</v>
      </c>
      <c r="E139">
        <v>45.68</v>
      </c>
      <c r="F139">
        <v>323.95</v>
      </c>
    </row>
    <row r="140" spans="1:6">
      <c r="A140">
        <v>2022</v>
      </c>
      <c r="B140" t="s">
        <v>21</v>
      </c>
      <c r="C140" t="s">
        <v>14</v>
      </c>
      <c r="D140">
        <v>2663</v>
      </c>
      <c r="E140">
        <v>15.86</v>
      </c>
      <c r="F140">
        <v>140.23</v>
      </c>
    </row>
    <row r="141" spans="1:6">
      <c r="A141">
        <v>2022</v>
      </c>
      <c r="B141" t="s">
        <v>21</v>
      </c>
      <c r="C141" t="s">
        <v>15</v>
      </c>
      <c r="D141">
        <v>6592</v>
      </c>
      <c r="E141">
        <v>30.53</v>
      </c>
      <c r="F141">
        <v>348.5</v>
      </c>
    </row>
    <row r="142" spans="1:6">
      <c r="A142">
        <v>2022</v>
      </c>
      <c r="B142" t="s">
        <v>21</v>
      </c>
      <c r="C142" t="s">
        <v>16</v>
      </c>
      <c r="D142">
        <v>8392</v>
      </c>
      <c r="E142">
        <v>19.33</v>
      </c>
      <c r="F142">
        <v>432.04</v>
      </c>
    </row>
    <row r="143" spans="1:6">
      <c r="A143">
        <v>2022</v>
      </c>
      <c r="B143" t="s">
        <v>21</v>
      </c>
      <c r="C143" t="s">
        <v>17</v>
      </c>
      <c r="D143">
        <v>2306</v>
      </c>
      <c r="E143">
        <v>33.25</v>
      </c>
      <c r="F143">
        <v>143.52</v>
      </c>
    </row>
    <row r="144" spans="1:6">
      <c r="A144">
        <v>2022</v>
      </c>
      <c r="B144" t="s">
        <v>21</v>
      </c>
      <c r="C144" t="s">
        <v>8</v>
      </c>
      <c r="D144">
        <v>7776</v>
      </c>
      <c r="E144">
        <v>44.53</v>
      </c>
      <c r="F144">
        <v>371.92</v>
      </c>
    </row>
    <row r="145" spans="1:6">
      <c r="A145">
        <v>2022</v>
      </c>
      <c r="B145" t="s">
        <v>21</v>
      </c>
      <c r="C145" t="s">
        <v>9</v>
      </c>
      <c r="D145">
        <v>6864</v>
      </c>
      <c r="E145">
        <v>45.21</v>
      </c>
      <c r="F145">
        <v>325.84</v>
      </c>
    </row>
    <row r="146" spans="1:6">
      <c r="A146">
        <v>2022</v>
      </c>
      <c r="B146" t="s">
        <v>21</v>
      </c>
      <c r="C146" t="s">
        <v>10</v>
      </c>
      <c r="D146">
        <v>8526</v>
      </c>
      <c r="E146">
        <v>19.47</v>
      </c>
      <c r="F146">
        <v>461.85</v>
      </c>
    </row>
    <row r="147" spans="1:6">
      <c r="A147">
        <v>2022</v>
      </c>
      <c r="B147" t="s">
        <v>21</v>
      </c>
      <c r="C147" t="s">
        <v>11</v>
      </c>
      <c r="D147">
        <v>9901</v>
      </c>
      <c r="E147">
        <v>46.31</v>
      </c>
      <c r="F147">
        <v>489.76</v>
      </c>
    </row>
    <row r="148" spans="1:6">
      <c r="A148">
        <v>2022</v>
      </c>
      <c r="B148" t="s">
        <v>21</v>
      </c>
      <c r="C148" t="s">
        <v>12</v>
      </c>
      <c r="D148">
        <v>6575</v>
      </c>
      <c r="E148">
        <v>33.68</v>
      </c>
      <c r="F148">
        <v>383.87</v>
      </c>
    </row>
    <row r="149" spans="1:6">
      <c r="A149">
        <v>2022</v>
      </c>
      <c r="B149" t="s">
        <v>21</v>
      </c>
      <c r="C149" t="s">
        <v>13</v>
      </c>
      <c r="D149">
        <v>6530</v>
      </c>
      <c r="E149">
        <v>24.01</v>
      </c>
      <c r="F149">
        <v>315.1</v>
      </c>
    </row>
    <row r="150" spans="1:6">
      <c r="A150">
        <v>2022</v>
      </c>
      <c r="B150" t="s">
        <v>21</v>
      </c>
      <c r="C150" t="s">
        <v>14</v>
      </c>
      <c r="D150">
        <v>5413</v>
      </c>
      <c r="E150">
        <v>38.33</v>
      </c>
      <c r="F150">
        <v>276.85</v>
      </c>
    </row>
    <row r="151" spans="1:6">
      <c r="A151">
        <v>2022</v>
      </c>
      <c r="B151" t="s">
        <v>21</v>
      </c>
      <c r="C151" t="s">
        <v>15</v>
      </c>
      <c r="D151">
        <v>4748</v>
      </c>
      <c r="E151">
        <v>29.27</v>
      </c>
      <c r="F151">
        <v>274.87</v>
      </c>
    </row>
    <row r="152" spans="1:6">
      <c r="A152">
        <v>2022</v>
      </c>
      <c r="B152" t="s">
        <v>21</v>
      </c>
      <c r="C152" t="s">
        <v>16</v>
      </c>
      <c r="D152">
        <v>1663</v>
      </c>
      <c r="E152">
        <v>25.12</v>
      </c>
      <c r="F152">
        <v>91.44</v>
      </c>
    </row>
    <row r="153" spans="1:6">
      <c r="A153">
        <v>2022</v>
      </c>
      <c r="B153" t="s">
        <v>21</v>
      </c>
      <c r="C153" t="s">
        <v>17</v>
      </c>
      <c r="D153">
        <v>2998</v>
      </c>
      <c r="E153">
        <v>38.2</v>
      </c>
      <c r="F153">
        <v>135.84</v>
      </c>
    </row>
    <row r="154" spans="1:6">
      <c r="A154">
        <v>2022</v>
      </c>
      <c r="B154" t="s">
        <v>21</v>
      </c>
      <c r="C154" t="s">
        <v>8</v>
      </c>
      <c r="D154">
        <v>8994</v>
      </c>
      <c r="E154">
        <v>19.95</v>
      </c>
      <c r="F154">
        <v>458.34</v>
      </c>
    </row>
    <row r="155" spans="1:6">
      <c r="A155">
        <v>2022</v>
      </c>
      <c r="B155" t="s">
        <v>22</v>
      </c>
      <c r="C155" t="s">
        <v>9</v>
      </c>
      <c r="D155">
        <v>2495</v>
      </c>
      <c r="E155">
        <v>23.21</v>
      </c>
      <c r="F155">
        <v>114.66</v>
      </c>
    </row>
    <row r="156" spans="1:6">
      <c r="A156">
        <v>2022</v>
      </c>
      <c r="B156" t="s">
        <v>22</v>
      </c>
      <c r="C156" t="s">
        <v>10</v>
      </c>
      <c r="D156">
        <v>4304</v>
      </c>
      <c r="E156">
        <v>27.38</v>
      </c>
      <c r="F156">
        <v>259.34</v>
      </c>
    </row>
    <row r="157" spans="1:6">
      <c r="A157">
        <v>2022</v>
      </c>
      <c r="B157" t="s">
        <v>22</v>
      </c>
      <c r="C157" t="s">
        <v>11</v>
      </c>
      <c r="D157">
        <v>4763</v>
      </c>
      <c r="E157">
        <v>20.15</v>
      </c>
      <c r="F157">
        <v>257.38</v>
      </c>
    </row>
    <row r="158" spans="1:6">
      <c r="A158">
        <v>2022</v>
      </c>
      <c r="B158" t="s">
        <v>22</v>
      </c>
      <c r="C158" t="s">
        <v>12</v>
      </c>
      <c r="D158">
        <v>6232</v>
      </c>
      <c r="E158">
        <v>26.21</v>
      </c>
      <c r="F158">
        <v>321.19</v>
      </c>
    </row>
    <row r="159" spans="1:6">
      <c r="A159">
        <v>2022</v>
      </c>
      <c r="B159" t="s">
        <v>22</v>
      </c>
      <c r="C159" t="s">
        <v>13</v>
      </c>
      <c r="D159">
        <v>2853</v>
      </c>
      <c r="E159">
        <v>32.86</v>
      </c>
      <c r="F159">
        <v>110.74</v>
      </c>
    </row>
    <row r="160" spans="1:6">
      <c r="A160">
        <v>2022</v>
      </c>
      <c r="B160" t="s">
        <v>22</v>
      </c>
      <c r="C160" t="s">
        <v>14</v>
      </c>
      <c r="D160">
        <v>7585</v>
      </c>
      <c r="E160">
        <v>39.64</v>
      </c>
      <c r="F160">
        <v>353.01</v>
      </c>
    </row>
    <row r="161" spans="1:6">
      <c r="A161">
        <v>2022</v>
      </c>
      <c r="B161" t="s">
        <v>22</v>
      </c>
      <c r="C161" t="s">
        <v>15</v>
      </c>
      <c r="D161">
        <v>2291</v>
      </c>
      <c r="E161">
        <v>40.69</v>
      </c>
      <c r="F161">
        <v>145.03</v>
      </c>
    </row>
    <row r="162" spans="1:6">
      <c r="A162">
        <v>2022</v>
      </c>
      <c r="B162" t="s">
        <v>22</v>
      </c>
      <c r="C162" t="s">
        <v>16</v>
      </c>
      <c r="D162">
        <v>4581</v>
      </c>
      <c r="E162">
        <v>42.91</v>
      </c>
      <c r="F162">
        <v>233.62</v>
      </c>
    </row>
    <row r="163" spans="1:6">
      <c r="A163">
        <v>2022</v>
      </c>
      <c r="B163" t="s">
        <v>22</v>
      </c>
      <c r="C163" t="s">
        <v>17</v>
      </c>
      <c r="D163">
        <v>8554</v>
      </c>
      <c r="E163">
        <v>39.77</v>
      </c>
      <c r="F163">
        <v>453.31</v>
      </c>
    </row>
    <row r="164" spans="1:6">
      <c r="A164">
        <v>2022</v>
      </c>
      <c r="B164" t="s">
        <v>22</v>
      </c>
      <c r="C164" t="s">
        <v>8</v>
      </c>
      <c r="D164">
        <v>8280</v>
      </c>
      <c r="E164">
        <v>37.24</v>
      </c>
      <c r="F164">
        <v>440.11</v>
      </c>
    </row>
    <row r="165" spans="1:6">
      <c r="A165">
        <v>2022</v>
      </c>
      <c r="B165" t="s">
        <v>22</v>
      </c>
      <c r="C165" t="s">
        <v>9</v>
      </c>
      <c r="D165">
        <v>2636</v>
      </c>
      <c r="E165">
        <v>19.5</v>
      </c>
      <c r="F165">
        <v>138.39</v>
      </c>
    </row>
    <row r="166" spans="1:6">
      <c r="A166">
        <v>2022</v>
      </c>
      <c r="B166" t="s">
        <v>22</v>
      </c>
      <c r="C166" t="s">
        <v>10</v>
      </c>
      <c r="D166">
        <v>4696</v>
      </c>
      <c r="E166">
        <v>26.01</v>
      </c>
      <c r="F166">
        <v>302.19</v>
      </c>
    </row>
    <row r="167" spans="1:6">
      <c r="A167">
        <v>2022</v>
      </c>
      <c r="B167" t="s">
        <v>22</v>
      </c>
      <c r="C167" t="s">
        <v>11</v>
      </c>
      <c r="D167">
        <v>1698</v>
      </c>
      <c r="E167">
        <v>29.11</v>
      </c>
      <c r="F167">
        <v>138.96</v>
      </c>
    </row>
    <row r="168" spans="1:6">
      <c r="A168">
        <v>2022</v>
      </c>
      <c r="B168" t="s">
        <v>22</v>
      </c>
      <c r="C168" t="s">
        <v>12</v>
      </c>
      <c r="D168">
        <v>5737</v>
      </c>
      <c r="E168">
        <v>13.32</v>
      </c>
      <c r="F168">
        <v>309.6</v>
      </c>
    </row>
    <row r="169" spans="1:6">
      <c r="A169">
        <v>2022</v>
      </c>
      <c r="B169" t="s">
        <v>22</v>
      </c>
      <c r="C169" t="s">
        <v>13</v>
      </c>
      <c r="D169">
        <v>1854</v>
      </c>
      <c r="E169">
        <v>31.13</v>
      </c>
      <c r="F169">
        <v>33.97</v>
      </c>
    </row>
    <row r="170" spans="1:6">
      <c r="A170">
        <v>2022</v>
      </c>
      <c r="B170" t="s">
        <v>22</v>
      </c>
      <c r="C170" t="s">
        <v>14</v>
      </c>
      <c r="D170">
        <v>9164</v>
      </c>
      <c r="E170">
        <v>27.45</v>
      </c>
      <c r="F170">
        <v>468.13</v>
      </c>
    </row>
    <row r="171" spans="1:6">
      <c r="A171">
        <v>2022</v>
      </c>
      <c r="B171" t="s">
        <v>22</v>
      </c>
      <c r="C171" t="s">
        <v>15</v>
      </c>
      <c r="D171">
        <v>6855</v>
      </c>
      <c r="E171">
        <v>42.08</v>
      </c>
      <c r="F171">
        <v>347.01</v>
      </c>
    </row>
    <row r="172" spans="1:6">
      <c r="A172">
        <v>2022</v>
      </c>
      <c r="B172" t="s">
        <v>22</v>
      </c>
      <c r="C172" t="s">
        <v>16</v>
      </c>
      <c r="D172">
        <v>8392</v>
      </c>
      <c r="E172">
        <v>49.12</v>
      </c>
      <c r="F172">
        <v>399.31</v>
      </c>
    </row>
    <row r="173" spans="1:6">
      <c r="A173">
        <v>2022</v>
      </c>
      <c r="B173" t="s">
        <v>22</v>
      </c>
      <c r="C173" t="s">
        <v>17</v>
      </c>
      <c r="D173">
        <v>7528</v>
      </c>
      <c r="E173">
        <v>32.24</v>
      </c>
      <c r="F173">
        <v>383.28</v>
      </c>
    </row>
    <row r="174" spans="1:6">
      <c r="A174">
        <v>2022</v>
      </c>
      <c r="B174" t="s">
        <v>22</v>
      </c>
      <c r="C174" t="s">
        <v>8</v>
      </c>
      <c r="D174">
        <v>6249</v>
      </c>
      <c r="E174">
        <v>22.91</v>
      </c>
      <c r="F174">
        <v>318.39</v>
      </c>
    </row>
    <row r="175" spans="1:6">
      <c r="A175">
        <v>2022</v>
      </c>
      <c r="B175" t="s">
        <v>22</v>
      </c>
      <c r="C175" t="s">
        <v>9</v>
      </c>
      <c r="D175">
        <v>6172</v>
      </c>
      <c r="E175">
        <v>11.74</v>
      </c>
      <c r="F175">
        <v>362.95</v>
      </c>
    </row>
    <row r="176" spans="1:6">
      <c r="A176">
        <v>2022</v>
      </c>
      <c r="B176" t="s">
        <v>22</v>
      </c>
      <c r="C176" t="s">
        <v>10</v>
      </c>
      <c r="D176">
        <v>2707</v>
      </c>
      <c r="E176">
        <v>46.99</v>
      </c>
      <c r="F176">
        <v>130.24</v>
      </c>
    </row>
    <row r="177" spans="1:6">
      <c r="A177">
        <v>2022</v>
      </c>
      <c r="B177" t="s">
        <v>22</v>
      </c>
      <c r="C177" t="s">
        <v>11</v>
      </c>
      <c r="D177">
        <v>6791</v>
      </c>
      <c r="E177">
        <v>46.76</v>
      </c>
      <c r="F177">
        <v>352.46</v>
      </c>
    </row>
    <row r="178" spans="1:6">
      <c r="A178">
        <v>2022</v>
      </c>
      <c r="B178" t="s">
        <v>22</v>
      </c>
      <c r="C178" t="s">
        <v>12</v>
      </c>
      <c r="D178">
        <v>6535</v>
      </c>
      <c r="E178">
        <v>20.12</v>
      </c>
      <c r="F178">
        <v>377.05</v>
      </c>
    </row>
    <row r="179" spans="1:6">
      <c r="A179">
        <v>2022</v>
      </c>
      <c r="B179" t="s">
        <v>22</v>
      </c>
      <c r="C179" t="s">
        <v>13</v>
      </c>
      <c r="D179">
        <v>5931</v>
      </c>
      <c r="E179">
        <v>37.82</v>
      </c>
      <c r="F179">
        <v>257.68</v>
      </c>
    </row>
    <row r="180" spans="1:6">
      <c r="A180">
        <v>2022</v>
      </c>
      <c r="B180" t="s">
        <v>22</v>
      </c>
      <c r="C180" t="s">
        <v>14</v>
      </c>
      <c r="D180">
        <v>4510</v>
      </c>
      <c r="E180">
        <v>13.02</v>
      </c>
      <c r="F180">
        <v>244.47</v>
      </c>
    </row>
    <row r="181" spans="1:6">
      <c r="A181">
        <v>2022</v>
      </c>
      <c r="B181" t="s">
        <v>22</v>
      </c>
      <c r="C181" t="s">
        <v>15</v>
      </c>
      <c r="D181">
        <v>1202</v>
      </c>
      <c r="E181">
        <v>16.65</v>
      </c>
      <c r="F181">
        <v>77.64</v>
      </c>
    </row>
    <row r="182" spans="1:6">
      <c r="A182">
        <v>2022</v>
      </c>
      <c r="B182" t="s">
        <v>22</v>
      </c>
      <c r="C182" t="s">
        <v>16</v>
      </c>
      <c r="D182">
        <v>5218</v>
      </c>
      <c r="E182">
        <v>18.67</v>
      </c>
      <c r="F182">
        <v>339.92</v>
      </c>
    </row>
    <row r="183" spans="1:6">
      <c r="A183">
        <v>2022</v>
      </c>
      <c r="B183" t="s">
        <v>22</v>
      </c>
      <c r="C183" t="s">
        <v>17</v>
      </c>
      <c r="D183">
        <v>9958</v>
      </c>
      <c r="E183">
        <v>21.78</v>
      </c>
      <c r="F183">
        <v>524.74</v>
      </c>
    </row>
    <row r="184" spans="1:6">
      <c r="A184">
        <v>2022</v>
      </c>
      <c r="B184" t="s">
        <v>22</v>
      </c>
      <c r="C184" t="s">
        <v>8</v>
      </c>
      <c r="D184">
        <v>5389</v>
      </c>
      <c r="E184">
        <v>49.83</v>
      </c>
      <c r="F184">
        <v>275.9</v>
      </c>
    </row>
    <row r="185" spans="1:6">
      <c r="A185">
        <v>2022</v>
      </c>
      <c r="B185" t="s">
        <v>23</v>
      </c>
      <c r="C185" t="s">
        <v>9</v>
      </c>
      <c r="D185">
        <v>3327</v>
      </c>
      <c r="E185">
        <v>37.88</v>
      </c>
      <c r="F185">
        <v>133.28</v>
      </c>
    </row>
    <row r="186" spans="1:6">
      <c r="A186">
        <v>2022</v>
      </c>
      <c r="B186" t="s">
        <v>23</v>
      </c>
      <c r="C186" t="s">
        <v>10</v>
      </c>
      <c r="D186">
        <v>9004</v>
      </c>
      <c r="E186">
        <v>25.37</v>
      </c>
      <c r="F186">
        <v>472.62</v>
      </c>
    </row>
    <row r="187" spans="1:6">
      <c r="A187">
        <v>2022</v>
      </c>
      <c r="B187" t="s">
        <v>23</v>
      </c>
      <c r="C187" t="s">
        <v>11</v>
      </c>
      <c r="D187">
        <v>3931</v>
      </c>
      <c r="E187">
        <v>39.48</v>
      </c>
      <c r="F187">
        <v>218.74</v>
      </c>
    </row>
    <row r="188" spans="1:6">
      <c r="A188">
        <v>2022</v>
      </c>
      <c r="B188" t="s">
        <v>23</v>
      </c>
      <c r="C188" t="s">
        <v>12</v>
      </c>
      <c r="D188">
        <v>8777</v>
      </c>
      <c r="E188">
        <v>46.61</v>
      </c>
      <c r="F188">
        <v>450.16</v>
      </c>
    </row>
    <row r="189" spans="1:6">
      <c r="A189">
        <v>2022</v>
      </c>
      <c r="B189" t="s">
        <v>23</v>
      </c>
      <c r="C189" t="s">
        <v>13</v>
      </c>
      <c r="D189">
        <v>1197</v>
      </c>
      <c r="E189">
        <v>48.35</v>
      </c>
      <c r="F189">
        <v>64.3</v>
      </c>
    </row>
    <row r="190" spans="1:6">
      <c r="A190">
        <v>2022</v>
      </c>
      <c r="B190" t="s">
        <v>23</v>
      </c>
      <c r="C190" t="s">
        <v>14</v>
      </c>
      <c r="D190">
        <v>8125</v>
      </c>
      <c r="E190">
        <v>12.31</v>
      </c>
      <c r="F190">
        <v>441.73</v>
      </c>
    </row>
    <row r="191" spans="1:6">
      <c r="A191">
        <v>2022</v>
      </c>
      <c r="B191" t="s">
        <v>23</v>
      </c>
      <c r="C191" t="s">
        <v>15</v>
      </c>
      <c r="D191">
        <v>2930</v>
      </c>
      <c r="E191">
        <v>25.78</v>
      </c>
      <c r="F191">
        <v>166.79</v>
      </c>
    </row>
    <row r="192" spans="1:6">
      <c r="A192">
        <v>2022</v>
      </c>
      <c r="B192" t="s">
        <v>23</v>
      </c>
      <c r="C192" t="s">
        <v>16</v>
      </c>
      <c r="D192">
        <v>7287</v>
      </c>
      <c r="E192">
        <v>14.27</v>
      </c>
      <c r="F192">
        <v>363.36</v>
      </c>
    </row>
    <row r="193" spans="1:6">
      <c r="A193">
        <v>2022</v>
      </c>
      <c r="B193" t="s">
        <v>23</v>
      </c>
      <c r="C193" t="s">
        <v>17</v>
      </c>
      <c r="D193">
        <v>9800</v>
      </c>
      <c r="E193">
        <v>23.43</v>
      </c>
      <c r="F193">
        <v>493.88</v>
      </c>
    </row>
    <row r="194" spans="1:6">
      <c r="A194">
        <v>2022</v>
      </c>
      <c r="B194" t="s">
        <v>23</v>
      </c>
      <c r="C194" t="s">
        <v>8</v>
      </c>
      <c r="D194">
        <v>5282</v>
      </c>
      <c r="E194">
        <v>16.79</v>
      </c>
      <c r="F194">
        <v>298.57</v>
      </c>
    </row>
    <row r="195" spans="1:6">
      <c r="A195">
        <v>2022</v>
      </c>
      <c r="B195" t="s">
        <v>23</v>
      </c>
      <c r="C195" t="s">
        <v>9</v>
      </c>
      <c r="D195">
        <v>3511</v>
      </c>
      <c r="E195">
        <v>35.87</v>
      </c>
      <c r="F195">
        <v>168.18</v>
      </c>
    </row>
    <row r="196" spans="1:6">
      <c r="A196">
        <v>2022</v>
      </c>
      <c r="B196" t="s">
        <v>23</v>
      </c>
      <c r="C196" t="s">
        <v>10</v>
      </c>
      <c r="D196">
        <v>1659</v>
      </c>
      <c r="E196">
        <v>25.53</v>
      </c>
      <c r="F196">
        <v>116.09</v>
      </c>
    </row>
    <row r="197" spans="1:6">
      <c r="A197">
        <v>2022</v>
      </c>
      <c r="B197" t="s">
        <v>23</v>
      </c>
      <c r="C197" t="s">
        <v>11</v>
      </c>
      <c r="D197">
        <v>3811</v>
      </c>
      <c r="E197">
        <v>19.18</v>
      </c>
      <c r="F197">
        <v>226.87</v>
      </c>
    </row>
    <row r="198" spans="1:6">
      <c r="A198">
        <v>2022</v>
      </c>
      <c r="B198" t="s">
        <v>23</v>
      </c>
      <c r="C198" t="s">
        <v>12</v>
      </c>
      <c r="D198">
        <v>8098</v>
      </c>
      <c r="E198">
        <v>20.64</v>
      </c>
      <c r="F198">
        <v>457.48</v>
      </c>
    </row>
    <row r="199" spans="1:6">
      <c r="A199">
        <v>2022</v>
      </c>
      <c r="B199" t="s">
        <v>23</v>
      </c>
      <c r="C199" t="s">
        <v>13</v>
      </c>
      <c r="D199">
        <v>7546</v>
      </c>
      <c r="E199">
        <v>24.41</v>
      </c>
      <c r="F199">
        <v>417.17</v>
      </c>
    </row>
    <row r="200" spans="1:6">
      <c r="A200">
        <v>2022</v>
      </c>
      <c r="B200" t="s">
        <v>23</v>
      </c>
      <c r="C200" t="s">
        <v>14</v>
      </c>
      <c r="D200">
        <v>2986</v>
      </c>
      <c r="E200">
        <v>20.4</v>
      </c>
      <c r="F200">
        <v>179.37</v>
      </c>
    </row>
    <row r="201" spans="1:6">
      <c r="A201">
        <v>2022</v>
      </c>
      <c r="B201" t="s">
        <v>23</v>
      </c>
      <c r="C201" t="s">
        <v>15</v>
      </c>
      <c r="D201">
        <v>9338</v>
      </c>
      <c r="E201">
        <v>28.13</v>
      </c>
      <c r="F201">
        <v>498.1</v>
      </c>
    </row>
    <row r="202" spans="1:6">
      <c r="A202">
        <v>2022</v>
      </c>
      <c r="B202" t="s">
        <v>23</v>
      </c>
      <c r="C202" t="s">
        <v>16</v>
      </c>
      <c r="D202">
        <v>3911</v>
      </c>
      <c r="E202">
        <v>11.29</v>
      </c>
      <c r="F202">
        <v>252.1</v>
      </c>
    </row>
    <row r="203" spans="1:6">
      <c r="A203">
        <v>2022</v>
      </c>
      <c r="B203" t="s">
        <v>23</v>
      </c>
      <c r="C203" t="s">
        <v>17</v>
      </c>
      <c r="D203">
        <v>2734</v>
      </c>
      <c r="E203">
        <v>21.19</v>
      </c>
      <c r="F203">
        <v>151.12</v>
      </c>
    </row>
    <row r="204" spans="1:6">
      <c r="A204">
        <v>2022</v>
      </c>
      <c r="B204" t="s">
        <v>23</v>
      </c>
      <c r="C204" t="s">
        <v>8</v>
      </c>
      <c r="D204">
        <v>2843</v>
      </c>
      <c r="E204">
        <v>26.45</v>
      </c>
      <c r="F204">
        <v>153.83</v>
      </c>
    </row>
    <row r="205" spans="1:6">
      <c r="A205">
        <v>2022</v>
      </c>
      <c r="B205" t="s">
        <v>23</v>
      </c>
      <c r="C205" t="s">
        <v>9</v>
      </c>
      <c r="D205">
        <v>9680</v>
      </c>
      <c r="E205">
        <v>34.11</v>
      </c>
      <c r="F205">
        <v>491.13</v>
      </c>
    </row>
    <row r="206" spans="1:6">
      <c r="A206">
        <v>2022</v>
      </c>
      <c r="B206" t="s">
        <v>23</v>
      </c>
      <c r="C206" t="s">
        <v>10</v>
      </c>
      <c r="D206">
        <v>3976</v>
      </c>
      <c r="E206">
        <v>20.84</v>
      </c>
      <c r="F206">
        <v>214.28</v>
      </c>
    </row>
    <row r="207" spans="1:6">
      <c r="A207">
        <v>2022</v>
      </c>
      <c r="B207" t="s">
        <v>23</v>
      </c>
      <c r="C207" t="s">
        <v>11</v>
      </c>
      <c r="D207">
        <v>2959</v>
      </c>
      <c r="E207">
        <v>15.33</v>
      </c>
      <c r="F207">
        <v>199.87</v>
      </c>
    </row>
    <row r="208" spans="1:6">
      <c r="A208">
        <v>2022</v>
      </c>
      <c r="B208" t="s">
        <v>23</v>
      </c>
      <c r="C208" t="s">
        <v>12</v>
      </c>
      <c r="D208">
        <v>6759</v>
      </c>
      <c r="E208">
        <v>13.05</v>
      </c>
      <c r="F208">
        <v>359.75</v>
      </c>
    </row>
    <row r="209" spans="1:6">
      <c r="A209">
        <v>2022</v>
      </c>
      <c r="B209" t="s">
        <v>23</v>
      </c>
      <c r="C209" t="s">
        <v>13</v>
      </c>
      <c r="D209">
        <v>7694</v>
      </c>
      <c r="E209">
        <v>47.62</v>
      </c>
      <c r="F209">
        <v>402.59</v>
      </c>
    </row>
    <row r="210" spans="1:6">
      <c r="A210">
        <v>2022</v>
      </c>
      <c r="B210" t="s">
        <v>23</v>
      </c>
      <c r="C210" t="s">
        <v>14</v>
      </c>
      <c r="D210">
        <v>3385</v>
      </c>
      <c r="E210">
        <v>26.67</v>
      </c>
      <c r="F210">
        <v>179.91</v>
      </c>
    </row>
    <row r="211" spans="1:6">
      <c r="A211">
        <v>2022</v>
      </c>
      <c r="B211" t="s">
        <v>23</v>
      </c>
      <c r="C211" t="s">
        <v>15</v>
      </c>
      <c r="D211">
        <v>5736</v>
      </c>
      <c r="E211">
        <v>33.25</v>
      </c>
      <c r="F211">
        <v>306.35</v>
      </c>
    </row>
    <row r="212" spans="1:6">
      <c r="A212">
        <v>2022</v>
      </c>
      <c r="B212" t="s">
        <v>23</v>
      </c>
      <c r="C212" t="s">
        <v>16</v>
      </c>
      <c r="D212">
        <v>2802</v>
      </c>
      <c r="E212">
        <v>46.77</v>
      </c>
      <c r="F212">
        <v>137.31</v>
      </c>
    </row>
    <row r="213" spans="1:6">
      <c r="A213">
        <v>2022</v>
      </c>
      <c r="B213" t="s">
        <v>23</v>
      </c>
      <c r="C213" t="s">
        <v>17</v>
      </c>
      <c r="D213">
        <v>9155</v>
      </c>
      <c r="E213">
        <v>13.31</v>
      </c>
      <c r="F213">
        <v>472.26</v>
      </c>
    </row>
    <row r="214" spans="1:6">
      <c r="A214">
        <v>2022</v>
      </c>
      <c r="B214" t="s">
        <v>23</v>
      </c>
      <c r="C214" t="s">
        <v>8</v>
      </c>
      <c r="D214">
        <v>9120</v>
      </c>
      <c r="E214">
        <v>45.07</v>
      </c>
      <c r="F214">
        <v>451.52</v>
      </c>
    </row>
    <row r="215" spans="1:6">
      <c r="A215">
        <v>2022</v>
      </c>
      <c r="B215" t="s">
        <v>23</v>
      </c>
      <c r="C215" t="s">
        <v>9</v>
      </c>
      <c r="D215">
        <v>7616</v>
      </c>
      <c r="E215">
        <v>32.06</v>
      </c>
      <c r="F215">
        <v>399</v>
      </c>
    </row>
    <row r="216" spans="1:6">
      <c r="A216">
        <v>2022</v>
      </c>
      <c r="B216" t="s">
        <v>24</v>
      </c>
      <c r="C216" t="s">
        <v>10</v>
      </c>
      <c r="D216">
        <v>6534</v>
      </c>
      <c r="E216">
        <v>16.59</v>
      </c>
      <c r="F216">
        <v>355.5</v>
      </c>
    </row>
    <row r="217" spans="1:6">
      <c r="A217">
        <v>2022</v>
      </c>
      <c r="B217" t="s">
        <v>24</v>
      </c>
      <c r="C217" t="s">
        <v>11</v>
      </c>
      <c r="D217">
        <v>5061</v>
      </c>
      <c r="E217">
        <v>26.45</v>
      </c>
      <c r="F217">
        <v>244.46</v>
      </c>
    </row>
    <row r="218" spans="1:6">
      <c r="A218">
        <v>2022</v>
      </c>
      <c r="B218" t="s">
        <v>24</v>
      </c>
      <c r="C218" t="s">
        <v>12</v>
      </c>
      <c r="D218">
        <v>1262</v>
      </c>
      <c r="E218">
        <v>41.1</v>
      </c>
      <c r="F218">
        <v>97.8</v>
      </c>
    </row>
    <row r="219" spans="1:6">
      <c r="A219">
        <v>2022</v>
      </c>
      <c r="B219" t="s">
        <v>24</v>
      </c>
      <c r="C219" t="s">
        <v>13</v>
      </c>
      <c r="D219">
        <v>7287</v>
      </c>
      <c r="E219">
        <v>29.21</v>
      </c>
      <c r="F219">
        <v>381.05</v>
      </c>
    </row>
    <row r="220" spans="1:6">
      <c r="A220">
        <v>2022</v>
      </c>
      <c r="B220" t="s">
        <v>24</v>
      </c>
      <c r="C220" t="s">
        <v>14</v>
      </c>
      <c r="D220">
        <v>9815</v>
      </c>
      <c r="E220">
        <v>49.41</v>
      </c>
      <c r="F220">
        <v>465.57</v>
      </c>
    </row>
    <row r="221" spans="1:6">
      <c r="A221">
        <v>2022</v>
      </c>
      <c r="B221" t="s">
        <v>24</v>
      </c>
      <c r="C221" t="s">
        <v>15</v>
      </c>
      <c r="D221">
        <v>3049</v>
      </c>
      <c r="E221">
        <v>25.07</v>
      </c>
      <c r="F221">
        <v>204.78</v>
      </c>
    </row>
    <row r="222" spans="1:6">
      <c r="A222">
        <v>2022</v>
      </c>
      <c r="B222" t="s">
        <v>24</v>
      </c>
      <c r="C222" t="s">
        <v>16</v>
      </c>
      <c r="D222">
        <v>6423</v>
      </c>
      <c r="E222">
        <v>39.98</v>
      </c>
      <c r="F222">
        <v>335.52</v>
      </c>
    </row>
    <row r="223" spans="1:6">
      <c r="A223">
        <v>2022</v>
      </c>
      <c r="B223" t="s">
        <v>24</v>
      </c>
      <c r="C223" t="s">
        <v>17</v>
      </c>
      <c r="D223">
        <v>5548</v>
      </c>
      <c r="E223">
        <v>25.72</v>
      </c>
      <c r="F223">
        <v>272.53</v>
      </c>
    </row>
    <row r="224" spans="1:6">
      <c r="A224">
        <v>2022</v>
      </c>
      <c r="B224" t="s">
        <v>24</v>
      </c>
      <c r="C224" t="s">
        <v>8</v>
      </c>
      <c r="D224">
        <v>4108</v>
      </c>
      <c r="E224">
        <v>43.17</v>
      </c>
      <c r="F224">
        <v>182.71</v>
      </c>
    </row>
    <row r="225" spans="1:6">
      <c r="A225">
        <v>2022</v>
      </c>
      <c r="B225" t="s">
        <v>24</v>
      </c>
      <c r="C225" t="s">
        <v>9</v>
      </c>
      <c r="D225">
        <v>8158</v>
      </c>
      <c r="E225">
        <v>32.76</v>
      </c>
      <c r="F225">
        <v>414.14</v>
      </c>
    </row>
    <row r="226" spans="1:6">
      <c r="A226">
        <v>2022</v>
      </c>
      <c r="B226" t="s">
        <v>24</v>
      </c>
      <c r="C226" t="s">
        <v>10</v>
      </c>
      <c r="D226">
        <v>8400</v>
      </c>
      <c r="E226">
        <v>12.54</v>
      </c>
      <c r="F226">
        <v>460.9</v>
      </c>
    </row>
    <row r="227" spans="1:6">
      <c r="A227">
        <v>2022</v>
      </c>
      <c r="B227" t="s">
        <v>24</v>
      </c>
      <c r="C227" t="s">
        <v>11</v>
      </c>
      <c r="D227">
        <v>4170</v>
      </c>
      <c r="E227">
        <v>11.47</v>
      </c>
      <c r="F227">
        <v>257.19</v>
      </c>
    </row>
    <row r="228" spans="1:6">
      <c r="A228">
        <v>2022</v>
      </c>
      <c r="B228" t="s">
        <v>24</v>
      </c>
      <c r="C228" t="s">
        <v>12</v>
      </c>
      <c r="D228">
        <v>3255</v>
      </c>
      <c r="E228">
        <v>15.35</v>
      </c>
      <c r="F228">
        <v>213.33</v>
      </c>
    </row>
    <row r="229" spans="1:6">
      <c r="A229">
        <v>2022</v>
      </c>
      <c r="B229" t="s">
        <v>24</v>
      </c>
      <c r="C229" t="s">
        <v>13</v>
      </c>
      <c r="D229">
        <v>2154</v>
      </c>
      <c r="E229">
        <v>10.55</v>
      </c>
      <c r="F229">
        <v>155.84</v>
      </c>
    </row>
    <row r="230" spans="1:6">
      <c r="A230">
        <v>2022</v>
      </c>
      <c r="B230" t="s">
        <v>24</v>
      </c>
      <c r="C230" t="s">
        <v>14</v>
      </c>
      <c r="D230">
        <v>5499</v>
      </c>
      <c r="E230">
        <v>13.01</v>
      </c>
      <c r="F230">
        <v>336.27</v>
      </c>
    </row>
    <row r="231" spans="1:6">
      <c r="A231">
        <v>2022</v>
      </c>
      <c r="B231" t="s">
        <v>24</v>
      </c>
      <c r="C231" t="s">
        <v>15</v>
      </c>
      <c r="D231">
        <v>7295</v>
      </c>
      <c r="E231">
        <v>37.67</v>
      </c>
      <c r="F231">
        <v>372.08</v>
      </c>
    </row>
    <row r="232" spans="1:6">
      <c r="A232">
        <v>2022</v>
      </c>
      <c r="B232" t="s">
        <v>24</v>
      </c>
      <c r="C232" t="s">
        <v>16</v>
      </c>
      <c r="D232">
        <v>7197</v>
      </c>
      <c r="E232">
        <v>31.37</v>
      </c>
      <c r="F232">
        <v>357.01</v>
      </c>
    </row>
    <row r="233" spans="1:6">
      <c r="A233">
        <v>2022</v>
      </c>
      <c r="B233" t="s">
        <v>24</v>
      </c>
      <c r="C233" t="s">
        <v>17</v>
      </c>
      <c r="D233">
        <v>2648</v>
      </c>
      <c r="E233">
        <v>40</v>
      </c>
      <c r="F233">
        <v>134.34</v>
      </c>
    </row>
    <row r="234" spans="1:6">
      <c r="A234">
        <v>2022</v>
      </c>
      <c r="B234" t="s">
        <v>24</v>
      </c>
      <c r="C234" t="s">
        <v>8</v>
      </c>
      <c r="D234">
        <v>6539</v>
      </c>
      <c r="E234">
        <v>46.53</v>
      </c>
      <c r="F234">
        <v>319.74</v>
      </c>
    </row>
    <row r="235" spans="1:6">
      <c r="A235">
        <v>2022</v>
      </c>
      <c r="B235" t="s">
        <v>24</v>
      </c>
      <c r="C235" t="s">
        <v>9</v>
      </c>
      <c r="D235">
        <v>5199</v>
      </c>
      <c r="E235">
        <v>33.41</v>
      </c>
      <c r="F235">
        <v>218.3</v>
      </c>
    </row>
    <row r="236" spans="1:6">
      <c r="A236">
        <v>2022</v>
      </c>
      <c r="B236" t="s">
        <v>24</v>
      </c>
      <c r="C236" t="s">
        <v>10</v>
      </c>
      <c r="D236">
        <v>9445</v>
      </c>
      <c r="E236">
        <v>39.04</v>
      </c>
      <c r="F236">
        <v>464.17</v>
      </c>
    </row>
    <row r="237" spans="1:6">
      <c r="A237">
        <v>2022</v>
      </c>
      <c r="B237" t="s">
        <v>24</v>
      </c>
      <c r="C237" t="s">
        <v>11</v>
      </c>
      <c r="D237">
        <v>3557</v>
      </c>
      <c r="E237">
        <v>40.28</v>
      </c>
      <c r="F237">
        <v>185.79</v>
      </c>
    </row>
    <row r="238" spans="1:6">
      <c r="A238">
        <v>2022</v>
      </c>
      <c r="B238" t="s">
        <v>24</v>
      </c>
      <c r="C238" t="s">
        <v>12</v>
      </c>
      <c r="D238">
        <v>6592</v>
      </c>
      <c r="E238">
        <v>25.11</v>
      </c>
      <c r="F238">
        <v>340.98</v>
      </c>
    </row>
    <row r="239" spans="1:6">
      <c r="A239">
        <v>2022</v>
      </c>
      <c r="B239" t="s">
        <v>24</v>
      </c>
      <c r="C239" t="s">
        <v>13</v>
      </c>
      <c r="D239">
        <v>1098</v>
      </c>
      <c r="E239">
        <v>19.64</v>
      </c>
      <c r="F239">
        <v>68.4</v>
      </c>
    </row>
    <row r="240" spans="1:6">
      <c r="A240">
        <v>2022</v>
      </c>
      <c r="B240" t="s">
        <v>24</v>
      </c>
      <c r="C240" t="s">
        <v>14</v>
      </c>
      <c r="D240">
        <v>3200</v>
      </c>
      <c r="E240">
        <v>18.2</v>
      </c>
      <c r="F240">
        <v>206.39</v>
      </c>
    </row>
    <row r="241" spans="1:6">
      <c r="A241">
        <v>2022</v>
      </c>
      <c r="B241" t="s">
        <v>24</v>
      </c>
      <c r="C241" t="s">
        <v>15</v>
      </c>
      <c r="D241">
        <v>3961</v>
      </c>
      <c r="E241">
        <v>20.06</v>
      </c>
      <c r="F241">
        <v>205.65</v>
      </c>
    </row>
    <row r="242" spans="1:6">
      <c r="A242">
        <v>2022</v>
      </c>
      <c r="B242" t="s">
        <v>24</v>
      </c>
      <c r="C242" t="s">
        <v>16</v>
      </c>
      <c r="D242">
        <v>5973</v>
      </c>
      <c r="E242">
        <v>20.99</v>
      </c>
      <c r="F242">
        <v>337.7</v>
      </c>
    </row>
    <row r="243" spans="1:6">
      <c r="A243">
        <v>2022</v>
      </c>
      <c r="B243" t="s">
        <v>24</v>
      </c>
      <c r="C243" t="s">
        <v>17</v>
      </c>
      <c r="D243">
        <v>5433</v>
      </c>
      <c r="E243">
        <v>18.29</v>
      </c>
      <c r="F243">
        <v>273.05</v>
      </c>
    </row>
    <row r="244" spans="1:6">
      <c r="A244">
        <v>2022</v>
      </c>
      <c r="B244" t="s">
        <v>24</v>
      </c>
      <c r="C244" t="s">
        <v>8</v>
      </c>
      <c r="D244">
        <v>3869</v>
      </c>
      <c r="E244">
        <v>45.13</v>
      </c>
      <c r="F244">
        <v>244.51</v>
      </c>
    </row>
    <row r="245" spans="1:6">
      <c r="A245">
        <v>2022</v>
      </c>
      <c r="B245" t="s">
        <v>24</v>
      </c>
      <c r="C245" t="s">
        <v>9</v>
      </c>
      <c r="D245">
        <v>1956</v>
      </c>
      <c r="E245">
        <v>40.28</v>
      </c>
      <c r="F245">
        <v>95.15</v>
      </c>
    </row>
    <row r="246" spans="1:6">
      <c r="A246">
        <v>2022</v>
      </c>
      <c r="B246" t="s">
        <v>24</v>
      </c>
      <c r="C246" t="s">
        <v>10</v>
      </c>
      <c r="D246">
        <v>9352</v>
      </c>
      <c r="E246">
        <v>11.88</v>
      </c>
      <c r="F246">
        <v>496.88</v>
      </c>
    </row>
    <row r="247" spans="1:6">
      <c r="A247">
        <v>2022</v>
      </c>
      <c r="B247" t="s">
        <v>25</v>
      </c>
      <c r="C247" t="s">
        <v>11</v>
      </c>
      <c r="D247">
        <v>6699</v>
      </c>
      <c r="E247">
        <v>20.75</v>
      </c>
      <c r="F247">
        <v>382.92</v>
      </c>
    </row>
    <row r="248" spans="1:6">
      <c r="A248">
        <v>2022</v>
      </c>
      <c r="B248" t="s">
        <v>25</v>
      </c>
      <c r="C248" t="s">
        <v>12</v>
      </c>
      <c r="D248">
        <v>7944</v>
      </c>
      <c r="E248">
        <v>10.89</v>
      </c>
      <c r="F248">
        <v>425.76</v>
      </c>
    </row>
    <row r="249" spans="1:6">
      <c r="A249">
        <v>2022</v>
      </c>
      <c r="B249" t="s">
        <v>25</v>
      </c>
      <c r="C249" t="s">
        <v>13</v>
      </c>
      <c r="D249">
        <v>5493</v>
      </c>
      <c r="E249">
        <v>29.93</v>
      </c>
      <c r="F249">
        <v>317.84</v>
      </c>
    </row>
    <row r="250" spans="1:6">
      <c r="A250">
        <v>2022</v>
      </c>
      <c r="B250" t="s">
        <v>25</v>
      </c>
      <c r="C250" t="s">
        <v>14</v>
      </c>
      <c r="D250">
        <v>5911</v>
      </c>
      <c r="E250">
        <v>29.05</v>
      </c>
      <c r="F250">
        <v>318.12</v>
      </c>
    </row>
    <row r="251" spans="1:6">
      <c r="A251">
        <v>2022</v>
      </c>
      <c r="B251" t="s">
        <v>25</v>
      </c>
      <c r="C251" t="s">
        <v>15</v>
      </c>
      <c r="D251">
        <v>4987</v>
      </c>
      <c r="E251">
        <v>43.25</v>
      </c>
      <c r="F251">
        <v>245.08</v>
      </c>
    </row>
    <row r="252" spans="1:6">
      <c r="A252">
        <v>2022</v>
      </c>
      <c r="B252" t="s">
        <v>25</v>
      </c>
      <c r="C252" t="s">
        <v>16</v>
      </c>
      <c r="D252">
        <v>7015</v>
      </c>
      <c r="E252">
        <v>22.31</v>
      </c>
      <c r="F252">
        <v>369.48</v>
      </c>
    </row>
    <row r="253" spans="1:6">
      <c r="A253">
        <v>2022</v>
      </c>
      <c r="B253" t="s">
        <v>25</v>
      </c>
      <c r="C253" t="s">
        <v>17</v>
      </c>
      <c r="D253">
        <v>2218</v>
      </c>
      <c r="E253">
        <v>42.66</v>
      </c>
      <c r="F253">
        <v>133.87</v>
      </c>
    </row>
    <row r="254" spans="1:6">
      <c r="A254">
        <v>2022</v>
      </c>
      <c r="B254" t="s">
        <v>25</v>
      </c>
      <c r="C254" t="s">
        <v>8</v>
      </c>
      <c r="D254">
        <v>5496</v>
      </c>
      <c r="E254">
        <v>48.72</v>
      </c>
      <c r="F254">
        <v>270.95</v>
      </c>
    </row>
    <row r="255" spans="1:6">
      <c r="A255">
        <v>2022</v>
      </c>
      <c r="B255" t="s">
        <v>25</v>
      </c>
      <c r="C255" t="s">
        <v>9</v>
      </c>
      <c r="D255">
        <v>5735</v>
      </c>
      <c r="E255">
        <v>13.54</v>
      </c>
      <c r="F255">
        <v>329.15</v>
      </c>
    </row>
    <row r="256" spans="1:6">
      <c r="A256">
        <v>2022</v>
      </c>
      <c r="B256" t="s">
        <v>25</v>
      </c>
      <c r="C256" t="s">
        <v>10</v>
      </c>
      <c r="D256">
        <v>5555</v>
      </c>
      <c r="E256">
        <v>41.67</v>
      </c>
      <c r="F256">
        <v>288.56</v>
      </c>
    </row>
    <row r="257" spans="1:6">
      <c r="A257">
        <v>2022</v>
      </c>
      <c r="B257" t="s">
        <v>25</v>
      </c>
      <c r="C257" t="s">
        <v>11</v>
      </c>
      <c r="D257">
        <v>9050</v>
      </c>
      <c r="E257">
        <v>33.6</v>
      </c>
      <c r="F257">
        <v>464.84</v>
      </c>
    </row>
    <row r="258" spans="1:6">
      <c r="A258">
        <v>2022</v>
      </c>
      <c r="B258" t="s">
        <v>25</v>
      </c>
      <c r="C258" t="s">
        <v>12</v>
      </c>
      <c r="D258">
        <v>4446</v>
      </c>
      <c r="E258">
        <v>29.2</v>
      </c>
      <c r="F258">
        <v>247.66</v>
      </c>
    </row>
    <row r="259" spans="1:6">
      <c r="A259">
        <v>2022</v>
      </c>
      <c r="B259" t="s">
        <v>25</v>
      </c>
      <c r="C259" t="s">
        <v>13</v>
      </c>
      <c r="D259">
        <v>2045</v>
      </c>
      <c r="E259">
        <v>26.82</v>
      </c>
      <c r="F259">
        <v>117.7</v>
      </c>
    </row>
    <row r="260" spans="1:6">
      <c r="A260">
        <v>2022</v>
      </c>
      <c r="B260" t="s">
        <v>25</v>
      </c>
      <c r="C260" t="s">
        <v>14</v>
      </c>
      <c r="D260">
        <v>7893</v>
      </c>
      <c r="E260">
        <v>41.39</v>
      </c>
      <c r="F260">
        <v>393.99</v>
      </c>
    </row>
    <row r="261" spans="1:6">
      <c r="A261">
        <v>2022</v>
      </c>
      <c r="B261" t="s">
        <v>25</v>
      </c>
      <c r="C261" t="s">
        <v>15</v>
      </c>
      <c r="D261">
        <v>2693</v>
      </c>
      <c r="E261">
        <v>35.57</v>
      </c>
      <c r="F261">
        <v>119.58</v>
      </c>
    </row>
    <row r="262" spans="1:6">
      <c r="A262">
        <v>2022</v>
      </c>
      <c r="B262" t="s">
        <v>25</v>
      </c>
      <c r="C262" t="s">
        <v>16</v>
      </c>
      <c r="D262">
        <v>4436</v>
      </c>
      <c r="E262">
        <v>42.2</v>
      </c>
      <c r="F262">
        <v>227.11</v>
      </c>
    </row>
    <row r="263" spans="1:6">
      <c r="A263">
        <v>2022</v>
      </c>
      <c r="B263" t="s">
        <v>25</v>
      </c>
      <c r="C263" t="s">
        <v>17</v>
      </c>
      <c r="D263">
        <v>9754</v>
      </c>
      <c r="E263">
        <v>46.13</v>
      </c>
      <c r="F263">
        <v>447.96</v>
      </c>
    </row>
    <row r="264" spans="1:6">
      <c r="A264">
        <v>2022</v>
      </c>
      <c r="B264" t="s">
        <v>25</v>
      </c>
      <c r="C264" t="s">
        <v>8</v>
      </c>
      <c r="D264">
        <v>6895</v>
      </c>
      <c r="E264">
        <v>34.69</v>
      </c>
      <c r="F264">
        <v>358.79</v>
      </c>
    </row>
    <row r="265" spans="1:6">
      <c r="A265">
        <v>2022</v>
      </c>
      <c r="B265" t="s">
        <v>25</v>
      </c>
      <c r="C265" t="s">
        <v>9</v>
      </c>
      <c r="D265">
        <v>4354</v>
      </c>
      <c r="E265">
        <v>49.22</v>
      </c>
      <c r="F265">
        <v>203.03</v>
      </c>
    </row>
    <row r="266" spans="1:6">
      <c r="A266">
        <v>2022</v>
      </c>
      <c r="B266" t="s">
        <v>25</v>
      </c>
      <c r="C266" t="s">
        <v>10</v>
      </c>
      <c r="D266">
        <v>1225</v>
      </c>
      <c r="E266">
        <v>34.32</v>
      </c>
      <c r="F266">
        <v>77.55</v>
      </c>
    </row>
    <row r="267" spans="1:6">
      <c r="A267">
        <v>2022</v>
      </c>
      <c r="B267" t="s">
        <v>25</v>
      </c>
      <c r="C267" t="s">
        <v>11</v>
      </c>
      <c r="D267">
        <v>5893</v>
      </c>
      <c r="E267">
        <v>35.47</v>
      </c>
      <c r="F267">
        <v>281.11</v>
      </c>
    </row>
    <row r="268" spans="1:6">
      <c r="A268">
        <v>2022</v>
      </c>
      <c r="B268" t="s">
        <v>25</v>
      </c>
      <c r="C268" t="s">
        <v>12</v>
      </c>
      <c r="D268">
        <v>8022</v>
      </c>
      <c r="E268">
        <v>32.19</v>
      </c>
      <c r="F268">
        <v>370.08</v>
      </c>
    </row>
    <row r="269" spans="1:6">
      <c r="A269">
        <v>2022</v>
      </c>
      <c r="B269" t="s">
        <v>25</v>
      </c>
      <c r="C269" t="s">
        <v>13</v>
      </c>
      <c r="D269">
        <v>6600</v>
      </c>
      <c r="E269">
        <v>13.64</v>
      </c>
      <c r="F269">
        <v>356.61</v>
      </c>
    </row>
    <row r="270" spans="1:6">
      <c r="A270">
        <v>2022</v>
      </c>
      <c r="B270" t="s">
        <v>25</v>
      </c>
      <c r="C270" t="s">
        <v>14</v>
      </c>
      <c r="D270">
        <v>8996</v>
      </c>
      <c r="E270">
        <v>39.06</v>
      </c>
      <c r="F270">
        <v>432.01</v>
      </c>
    </row>
    <row r="271" spans="1:6">
      <c r="A271">
        <v>2022</v>
      </c>
      <c r="B271" t="s">
        <v>25</v>
      </c>
      <c r="C271" t="s">
        <v>15</v>
      </c>
      <c r="D271">
        <v>8683</v>
      </c>
      <c r="E271">
        <v>31.9</v>
      </c>
      <c r="F271">
        <v>410.26</v>
      </c>
    </row>
    <row r="272" spans="1:6">
      <c r="A272">
        <v>2022</v>
      </c>
      <c r="B272" t="s">
        <v>25</v>
      </c>
      <c r="C272" t="s">
        <v>16</v>
      </c>
      <c r="D272">
        <v>5642</v>
      </c>
      <c r="E272">
        <v>28.04</v>
      </c>
      <c r="F272">
        <v>313.82</v>
      </c>
    </row>
    <row r="273" spans="1:6">
      <c r="A273">
        <v>2022</v>
      </c>
      <c r="B273" t="s">
        <v>25</v>
      </c>
      <c r="C273" t="s">
        <v>17</v>
      </c>
      <c r="D273">
        <v>8679</v>
      </c>
      <c r="E273">
        <v>46.42</v>
      </c>
      <c r="F273">
        <v>460.27</v>
      </c>
    </row>
    <row r="274" spans="1:6">
      <c r="A274">
        <v>2022</v>
      </c>
      <c r="B274" t="s">
        <v>25</v>
      </c>
      <c r="C274" t="s">
        <v>8</v>
      </c>
      <c r="D274">
        <v>9208</v>
      </c>
      <c r="E274">
        <v>21.92</v>
      </c>
      <c r="F274">
        <v>468.16</v>
      </c>
    </row>
    <row r="275" spans="1:6">
      <c r="A275">
        <v>2022</v>
      </c>
      <c r="B275" t="s">
        <v>25</v>
      </c>
      <c r="C275" t="s">
        <v>9</v>
      </c>
      <c r="D275">
        <v>8339</v>
      </c>
      <c r="E275">
        <v>30.94</v>
      </c>
      <c r="F275">
        <v>428.3</v>
      </c>
    </row>
    <row r="276" spans="1:6">
      <c r="A276">
        <v>2022</v>
      </c>
      <c r="B276" t="s">
        <v>25</v>
      </c>
      <c r="C276" t="s">
        <v>10</v>
      </c>
      <c r="D276">
        <v>3205</v>
      </c>
      <c r="E276">
        <v>37.91</v>
      </c>
      <c r="F276">
        <v>158.61</v>
      </c>
    </row>
    <row r="277" spans="1:6">
      <c r="A277">
        <v>2022</v>
      </c>
      <c r="B277" t="s">
        <v>26</v>
      </c>
      <c r="C277" t="s">
        <v>11</v>
      </c>
      <c r="D277">
        <v>2069</v>
      </c>
      <c r="E277">
        <v>41.86</v>
      </c>
      <c r="F277">
        <v>90.04</v>
      </c>
    </row>
    <row r="278" spans="1:6">
      <c r="A278">
        <v>2022</v>
      </c>
      <c r="B278" t="s">
        <v>26</v>
      </c>
      <c r="C278" t="s">
        <v>12</v>
      </c>
      <c r="D278">
        <v>4444</v>
      </c>
      <c r="E278">
        <v>28.37</v>
      </c>
      <c r="F278">
        <v>251.43</v>
      </c>
    </row>
    <row r="279" spans="1:6">
      <c r="A279">
        <v>2022</v>
      </c>
      <c r="B279" t="s">
        <v>26</v>
      </c>
      <c r="C279" t="s">
        <v>13</v>
      </c>
      <c r="D279">
        <v>2060</v>
      </c>
      <c r="E279">
        <v>43.68</v>
      </c>
      <c r="F279">
        <v>120.78</v>
      </c>
    </row>
    <row r="280" spans="1:6">
      <c r="A280">
        <v>2022</v>
      </c>
      <c r="B280" t="s">
        <v>26</v>
      </c>
      <c r="C280" t="s">
        <v>14</v>
      </c>
      <c r="D280">
        <v>3327</v>
      </c>
      <c r="E280">
        <v>40.76</v>
      </c>
      <c r="F280">
        <v>150.07</v>
      </c>
    </row>
    <row r="281" spans="1:6">
      <c r="A281">
        <v>2022</v>
      </c>
      <c r="B281" t="s">
        <v>26</v>
      </c>
      <c r="C281" t="s">
        <v>15</v>
      </c>
      <c r="D281">
        <v>4420</v>
      </c>
      <c r="E281">
        <v>12.65</v>
      </c>
      <c r="F281">
        <v>256.72</v>
      </c>
    </row>
    <row r="282" spans="1:6">
      <c r="A282">
        <v>2022</v>
      </c>
      <c r="B282" t="s">
        <v>26</v>
      </c>
      <c r="C282" t="s">
        <v>16</v>
      </c>
      <c r="D282">
        <v>1301</v>
      </c>
      <c r="E282">
        <v>11.83</v>
      </c>
      <c r="F282">
        <v>126.54</v>
      </c>
    </row>
    <row r="283" spans="1:6">
      <c r="A283">
        <v>2022</v>
      </c>
      <c r="B283" t="s">
        <v>26</v>
      </c>
      <c r="C283" t="s">
        <v>17</v>
      </c>
      <c r="D283">
        <v>1606</v>
      </c>
      <c r="E283">
        <v>34.83</v>
      </c>
      <c r="F283">
        <v>102.28</v>
      </c>
    </row>
    <row r="284" spans="1:6">
      <c r="A284">
        <v>2022</v>
      </c>
      <c r="B284" t="s">
        <v>26</v>
      </c>
      <c r="C284" t="s">
        <v>8</v>
      </c>
      <c r="D284">
        <v>4170</v>
      </c>
      <c r="E284">
        <v>23.9</v>
      </c>
      <c r="F284">
        <v>246.58</v>
      </c>
    </row>
    <row r="285" spans="1:6">
      <c r="A285">
        <v>2022</v>
      </c>
      <c r="B285" t="s">
        <v>26</v>
      </c>
      <c r="C285" t="s">
        <v>9</v>
      </c>
      <c r="D285">
        <v>1699</v>
      </c>
      <c r="E285">
        <v>18.37</v>
      </c>
      <c r="F285">
        <v>140.27</v>
      </c>
    </row>
    <row r="286" spans="1:6">
      <c r="A286">
        <v>2022</v>
      </c>
      <c r="B286" t="s">
        <v>26</v>
      </c>
      <c r="C286" t="s">
        <v>10</v>
      </c>
      <c r="D286">
        <v>6088</v>
      </c>
      <c r="E286">
        <v>33.19</v>
      </c>
      <c r="F286">
        <v>341.67</v>
      </c>
    </row>
    <row r="287" spans="1:6">
      <c r="A287">
        <v>2022</v>
      </c>
      <c r="B287" t="s">
        <v>26</v>
      </c>
      <c r="C287" t="s">
        <v>11</v>
      </c>
      <c r="D287">
        <v>1190</v>
      </c>
      <c r="E287">
        <v>23.66</v>
      </c>
      <c r="F287">
        <v>101.68</v>
      </c>
    </row>
    <row r="288" spans="1:6">
      <c r="A288">
        <v>2022</v>
      </c>
      <c r="B288" t="s">
        <v>26</v>
      </c>
      <c r="C288" t="s">
        <v>12</v>
      </c>
      <c r="D288">
        <v>1980</v>
      </c>
      <c r="E288">
        <v>31.49</v>
      </c>
      <c r="F288">
        <v>114.11</v>
      </c>
    </row>
    <row r="289" spans="1:6">
      <c r="A289">
        <v>2022</v>
      </c>
      <c r="B289" t="s">
        <v>26</v>
      </c>
      <c r="C289" t="s">
        <v>13</v>
      </c>
      <c r="D289">
        <v>3975</v>
      </c>
      <c r="E289">
        <v>28.4</v>
      </c>
      <c r="F289">
        <v>207.01</v>
      </c>
    </row>
    <row r="290" spans="1:6">
      <c r="A290">
        <v>2022</v>
      </c>
      <c r="B290" t="s">
        <v>26</v>
      </c>
      <c r="C290" t="s">
        <v>14</v>
      </c>
      <c r="D290">
        <v>7102</v>
      </c>
      <c r="E290">
        <v>33.39</v>
      </c>
      <c r="F290">
        <v>367.1</v>
      </c>
    </row>
    <row r="291" spans="1:6">
      <c r="A291">
        <v>2022</v>
      </c>
      <c r="B291" t="s">
        <v>26</v>
      </c>
      <c r="C291" t="s">
        <v>15</v>
      </c>
      <c r="D291">
        <v>2184</v>
      </c>
      <c r="E291">
        <v>26.01</v>
      </c>
      <c r="F291">
        <v>117.3</v>
      </c>
    </row>
    <row r="292" spans="1:6">
      <c r="A292">
        <v>2022</v>
      </c>
      <c r="B292" t="s">
        <v>26</v>
      </c>
      <c r="C292" t="s">
        <v>16</v>
      </c>
      <c r="D292">
        <v>4327</v>
      </c>
      <c r="E292">
        <v>37.91</v>
      </c>
      <c r="F292">
        <v>181.81</v>
      </c>
    </row>
    <row r="293" spans="1:6">
      <c r="A293">
        <v>2022</v>
      </c>
      <c r="B293" t="s">
        <v>26</v>
      </c>
      <c r="C293" t="s">
        <v>17</v>
      </c>
      <c r="D293">
        <v>4394</v>
      </c>
      <c r="E293">
        <v>17.2</v>
      </c>
      <c r="F293">
        <v>243.47</v>
      </c>
    </row>
    <row r="294" spans="1:6">
      <c r="A294">
        <v>2022</v>
      </c>
      <c r="B294" t="s">
        <v>26</v>
      </c>
      <c r="C294" t="s">
        <v>8</v>
      </c>
      <c r="D294">
        <v>9319</v>
      </c>
      <c r="E294">
        <v>37.86</v>
      </c>
      <c r="F294">
        <v>477.67</v>
      </c>
    </row>
    <row r="295" spans="1:6">
      <c r="A295">
        <v>2022</v>
      </c>
      <c r="B295" t="s">
        <v>26</v>
      </c>
      <c r="C295" t="s">
        <v>9</v>
      </c>
      <c r="D295">
        <v>2816</v>
      </c>
      <c r="E295">
        <v>26.47</v>
      </c>
      <c r="F295">
        <v>147.29</v>
      </c>
    </row>
    <row r="296" spans="1:6">
      <c r="A296">
        <v>2022</v>
      </c>
      <c r="B296" t="s">
        <v>26</v>
      </c>
      <c r="C296" t="s">
        <v>10</v>
      </c>
      <c r="D296">
        <v>6854</v>
      </c>
      <c r="E296">
        <v>44.97</v>
      </c>
      <c r="F296">
        <v>334.88</v>
      </c>
    </row>
    <row r="297" spans="1:6">
      <c r="A297">
        <v>2022</v>
      </c>
      <c r="B297" t="s">
        <v>26</v>
      </c>
      <c r="C297" t="s">
        <v>11</v>
      </c>
      <c r="D297">
        <v>7709</v>
      </c>
      <c r="E297">
        <v>30.61</v>
      </c>
      <c r="F297">
        <v>395.64</v>
      </c>
    </row>
    <row r="298" spans="1:6">
      <c r="A298">
        <v>2022</v>
      </c>
      <c r="B298" t="s">
        <v>26</v>
      </c>
      <c r="C298" t="s">
        <v>12</v>
      </c>
      <c r="D298">
        <v>1569</v>
      </c>
      <c r="E298">
        <v>48.92</v>
      </c>
      <c r="F298">
        <v>96.88</v>
      </c>
    </row>
    <row r="299" spans="1:6">
      <c r="A299">
        <v>2022</v>
      </c>
      <c r="B299" t="s">
        <v>26</v>
      </c>
      <c r="C299" t="s">
        <v>13</v>
      </c>
      <c r="D299">
        <v>6442</v>
      </c>
      <c r="E299">
        <v>34.08</v>
      </c>
      <c r="F299">
        <v>324.02</v>
      </c>
    </row>
    <row r="300" spans="1:6">
      <c r="A300">
        <v>2022</v>
      </c>
      <c r="B300" t="s">
        <v>26</v>
      </c>
      <c r="C300" t="s">
        <v>14</v>
      </c>
      <c r="D300">
        <v>2895</v>
      </c>
      <c r="E300">
        <v>18.95</v>
      </c>
      <c r="F300">
        <v>199.14</v>
      </c>
    </row>
    <row r="301" spans="1:6">
      <c r="A301">
        <v>2022</v>
      </c>
      <c r="B301" t="s">
        <v>26</v>
      </c>
      <c r="C301" t="s">
        <v>15</v>
      </c>
      <c r="D301">
        <v>3733</v>
      </c>
      <c r="E301">
        <v>42.87</v>
      </c>
      <c r="F301">
        <v>130.95</v>
      </c>
    </row>
    <row r="302" spans="1:6">
      <c r="A302">
        <v>2022</v>
      </c>
      <c r="B302" t="s">
        <v>26</v>
      </c>
      <c r="C302" t="s">
        <v>16</v>
      </c>
      <c r="D302">
        <v>4863</v>
      </c>
      <c r="E302">
        <v>23.8</v>
      </c>
      <c r="F302">
        <v>291.54</v>
      </c>
    </row>
    <row r="303" spans="1:6">
      <c r="A303">
        <v>2022</v>
      </c>
      <c r="B303" t="s">
        <v>26</v>
      </c>
      <c r="C303" t="s">
        <v>17</v>
      </c>
      <c r="D303">
        <v>8455</v>
      </c>
      <c r="E303">
        <v>23.9</v>
      </c>
      <c r="F303">
        <v>470.01</v>
      </c>
    </row>
    <row r="304" spans="1:6">
      <c r="A304">
        <v>2022</v>
      </c>
      <c r="B304" t="s">
        <v>26</v>
      </c>
      <c r="C304" t="s">
        <v>8</v>
      </c>
      <c r="D304">
        <v>5014</v>
      </c>
      <c r="E304">
        <v>11.27</v>
      </c>
      <c r="F304">
        <v>305.22</v>
      </c>
    </row>
    <row r="305" spans="1:6">
      <c r="A305">
        <v>2022</v>
      </c>
      <c r="B305" t="s">
        <v>26</v>
      </c>
      <c r="C305" t="s">
        <v>9</v>
      </c>
      <c r="D305">
        <v>2686</v>
      </c>
      <c r="E305">
        <v>31.95</v>
      </c>
      <c r="F305">
        <v>105.72</v>
      </c>
    </row>
    <row r="306" spans="1:6">
      <c r="A306">
        <v>2022</v>
      </c>
      <c r="B306" t="s">
        <v>26</v>
      </c>
      <c r="C306" t="s">
        <v>10</v>
      </c>
      <c r="D306">
        <v>4009</v>
      </c>
      <c r="E306">
        <v>31.38</v>
      </c>
      <c r="F306">
        <v>233.18</v>
      </c>
    </row>
    <row r="307" spans="1:6">
      <c r="A307">
        <v>2022</v>
      </c>
      <c r="B307" t="s">
        <v>26</v>
      </c>
      <c r="C307" t="s">
        <v>11</v>
      </c>
      <c r="D307">
        <v>8806</v>
      </c>
      <c r="E307">
        <v>24.24</v>
      </c>
      <c r="F307">
        <v>460.21</v>
      </c>
    </row>
    <row r="308" spans="1:6">
      <c r="A308">
        <v>2022</v>
      </c>
      <c r="B308" t="s">
        <v>27</v>
      </c>
      <c r="C308" t="s">
        <v>12</v>
      </c>
      <c r="D308">
        <v>1154</v>
      </c>
      <c r="E308">
        <v>45.77</v>
      </c>
      <c r="F308">
        <v>2.19</v>
      </c>
    </row>
    <row r="309" spans="1:6">
      <c r="A309">
        <v>2022</v>
      </c>
      <c r="B309" t="s">
        <v>27</v>
      </c>
      <c r="C309" t="s">
        <v>13</v>
      </c>
      <c r="D309">
        <v>2409</v>
      </c>
      <c r="E309">
        <v>15.15</v>
      </c>
      <c r="F309">
        <v>178.23</v>
      </c>
    </row>
    <row r="310" spans="1:6">
      <c r="A310">
        <v>2022</v>
      </c>
      <c r="B310" t="s">
        <v>27</v>
      </c>
      <c r="C310" t="s">
        <v>14</v>
      </c>
      <c r="D310">
        <v>1784</v>
      </c>
      <c r="E310">
        <v>23.2</v>
      </c>
      <c r="F310">
        <v>140.24</v>
      </c>
    </row>
    <row r="311" spans="1:6">
      <c r="A311">
        <v>2022</v>
      </c>
      <c r="B311" t="s">
        <v>27</v>
      </c>
      <c r="C311" t="s">
        <v>15</v>
      </c>
      <c r="D311">
        <v>9096</v>
      </c>
      <c r="E311">
        <v>22.86</v>
      </c>
      <c r="F311">
        <v>439.27</v>
      </c>
    </row>
    <row r="312" spans="1:6">
      <c r="A312">
        <v>2022</v>
      </c>
      <c r="B312" t="s">
        <v>27</v>
      </c>
      <c r="C312" t="s">
        <v>16</v>
      </c>
      <c r="D312">
        <v>8560</v>
      </c>
      <c r="E312">
        <v>13.69</v>
      </c>
      <c r="F312">
        <v>465.08</v>
      </c>
    </row>
    <row r="313" spans="1:6">
      <c r="A313">
        <v>2022</v>
      </c>
      <c r="B313" t="s">
        <v>27</v>
      </c>
      <c r="C313" t="s">
        <v>17</v>
      </c>
      <c r="D313">
        <v>8343</v>
      </c>
      <c r="E313">
        <v>29.25</v>
      </c>
      <c r="F313">
        <v>459.83</v>
      </c>
    </row>
    <row r="314" spans="1:6">
      <c r="A314">
        <v>2022</v>
      </c>
      <c r="B314" t="s">
        <v>27</v>
      </c>
      <c r="C314" t="s">
        <v>8</v>
      </c>
      <c r="D314">
        <v>8206</v>
      </c>
      <c r="E314">
        <v>37.51</v>
      </c>
      <c r="F314">
        <v>439.89</v>
      </c>
    </row>
    <row r="315" spans="1:6">
      <c r="A315">
        <v>2022</v>
      </c>
      <c r="B315" t="s">
        <v>27</v>
      </c>
      <c r="C315" t="s">
        <v>9</v>
      </c>
      <c r="D315">
        <v>6596</v>
      </c>
      <c r="E315">
        <v>30.47</v>
      </c>
      <c r="F315">
        <v>359.96</v>
      </c>
    </row>
    <row r="316" spans="1:6">
      <c r="A316">
        <v>2022</v>
      </c>
      <c r="B316" t="s">
        <v>27</v>
      </c>
      <c r="C316" t="s">
        <v>10</v>
      </c>
      <c r="D316">
        <v>6801</v>
      </c>
      <c r="E316">
        <v>16.28</v>
      </c>
      <c r="F316">
        <v>317.57</v>
      </c>
    </row>
    <row r="317" spans="1:6">
      <c r="A317">
        <v>2022</v>
      </c>
      <c r="B317" t="s">
        <v>27</v>
      </c>
      <c r="C317" t="s">
        <v>11</v>
      </c>
      <c r="D317">
        <v>3806</v>
      </c>
      <c r="E317">
        <v>25.09</v>
      </c>
      <c r="F317">
        <v>224.78</v>
      </c>
    </row>
    <row r="318" spans="1:6">
      <c r="A318">
        <v>2022</v>
      </c>
      <c r="B318" t="s">
        <v>27</v>
      </c>
      <c r="C318" t="s">
        <v>12</v>
      </c>
      <c r="D318">
        <v>1537</v>
      </c>
      <c r="E318">
        <v>10.1</v>
      </c>
      <c r="F318">
        <v>110.36</v>
      </c>
    </row>
    <row r="319" spans="1:6">
      <c r="A319">
        <v>2022</v>
      </c>
      <c r="B319" t="s">
        <v>27</v>
      </c>
      <c r="C319" t="s">
        <v>13</v>
      </c>
      <c r="D319">
        <v>6986</v>
      </c>
      <c r="E319">
        <v>44.73</v>
      </c>
      <c r="F319">
        <v>365.54</v>
      </c>
    </row>
    <row r="320" spans="1:6">
      <c r="A320">
        <v>2022</v>
      </c>
      <c r="B320" t="s">
        <v>27</v>
      </c>
      <c r="C320" t="s">
        <v>14</v>
      </c>
      <c r="D320">
        <v>2841</v>
      </c>
      <c r="E320">
        <v>13.38</v>
      </c>
      <c r="F320">
        <v>181.12</v>
      </c>
    </row>
    <row r="321" spans="1:6">
      <c r="A321">
        <v>2022</v>
      </c>
      <c r="B321" t="s">
        <v>27</v>
      </c>
      <c r="C321" t="s">
        <v>15</v>
      </c>
      <c r="D321">
        <v>9716</v>
      </c>
      <c r="E321">
        <v>33.89</v>
      </c>
      <c r="F321">
        <v>494.73</v>
      </c>
    </row>
    <row r="322" spans="1:6">
      <c r="A322">
        <v>2022</v>
      </c>
      <c r="B322" t="s">
        <v>27</v>
      </c>
      <c r="C322" t="s">
        <v>16</v>
      </c>
      <c r="D322">
        <v>7971</v>
      </c>
      <c r="E322">
        <v>49.45</v>
      </c>
      <c r="F322">
        <v>402.03</v>
      </c>
    </row>
    <row r="323" spans="1:6">
      <c r="A323">
        <v>2022</v>
      </c>
      <c r="B323" t="s">
        <v>27</v>
      </c>
      <c r="C323" t="s">
        <v>17</v>
      </c>
      <c r="D323">
        <v>6625</v>
      </c>
      <c r="E323">
        <v>31.46</v>
      </c>
      <c r="F323">
        <v>340.06</v>
      </c>
    </row>
    <row r="324" spans="1:6">
      <c r="A324">
        <v>2022</v>
      </c>
      <c r="B324" t="s">
        <v>28</v>
      </c>
      <c r="C324" t="s">
        <v>8</v>
      </c>
      <c r="D324">
        <v>3950</v>
      </c>
      <c r="E324">
        <v>46.96</v>
      </c>
      <c r="F324">
        <v>190.66</v>
      </c>
    </row>
    <row r="325" spans="1:6">
      <c r="A325">
        <v>2022</v>
      </c>
      <c r="B325" t="s">
        <v>28</v>
      </c>
      <c r="C325" t="s">
        <v>9</v>
      </c>
      <c r="D325">
        <v>8992</v>
      </c>
      <c r="E325">
        <v>19.44</v>
      </c>
      <c r="F325">
        <v>465.16</v>
      </c>
    </row>
    <row r="326" spans="1:6">
      <c r="A326">
        <v>2022</v>
      </c>
      <c r="B326" t="s">
        <v>28</v>
      </c>
      <c r="C326" t="s">
        <v>10</v>
      </c>
      <c r="D326">
        <v>5780</v>
      </c>
      <c r="E326">
        <v>40.4</v>
      </c>
      <c r="F326">
        <v>258.41</v>
      </c>
    </row>
    <row r="327" spans="1:6">
      <c r="A327">
        <v>2022</v>
      </c>
      <c r="B327" t="s">
        <v>28</v>
      </c>
      <c r="C327" t="s">
        <v>11</v>
      </c>
      <c r="D327">
        <v>3368</v>
      </c>
      <c r="E327">
        <v>31.25</v>
      </c>
      <c r="F327">
        <v>192.26</v>
      </c>
    </row>
    <row r="328" spans="1:6">
      <c r="A328">
        <v>2022</v>
      </c>
      <c r="B328" t="s">
        <v>28</v>
      </c>
      <c r="C328" t="s">
        <v>12</v>
      </c>
      <c r="D328">
        <v>7655</v>
      </c>
      <c r="E328">
        <v>38.82</v>
      </c>
      <c r="F328">
        <v>370.04</v>
      </c>
    </row>
    <row r="329" spans="1:6">
      <c r="A329">
        <v>2022</v>
      </c>
      <c r="B329" t="s">
        <v>28</v>
      </c>
      <c r="C329" t="s">
        <v>13</v>
      </c>
      <c r="D329">
        <v>9173</v>
      </c>
      <c r="E329">
        <v>12.49</v>
      </c>
      <c r="F329">
        <v>489.64</v>
      </c>
    </row>
    <row r="330" spans="1:6">
      <c r="A330">
        <v>2022</v>
      </c>
      <c r="B330" t="s">
        <v>28</v>
      </c>
      <c r="C330" t="s">
        <v>14</v>
      </c>
      <c r="D330">
        <v>5495</v>
      </c>
      <c r="E330">
        <v>15.91</v>
      </c>
      <c r="F330">
        <v>311.4</v>
      </c>
    </row>
    <row r="331" spans="1:6">
      <c r="A331">
        <v>2022</v>
      </c>
      <c r="B331" t="s">
        <v>28</v>
      </c>
      <c r="C331" t="s">
        <v>15</v>
      </c>
      <c r="D331">
        <v>7002</v>
      </c>
      <c r="E331">
        <v>15.32</v>
      </c>
      <c r="F331">
        <v>340.01</v>
      </c>
    </row>
    <row r="332" spans="1:6">
      <c r="A332">
        <v>2022</v>
      </c>
      <c r="B332" t="s">
        <v>28</v>
      </c>
      <c r="C332" t="s">
        <v>16</v>
      </c>
      <c r="D332">
        <v>7614</v>
      </c>
      <c r="E332">
        <v>37.49</v>
      </c>
      <c r="F332">
        <v>348.49</v>
      </c>
    </row>
    <row r="333" spans="1:6">
      <c r="A333">
        <v>2022</v>
      </c>
      <c r="B333" t="s">
        <v>28</v>
      </c>
      <c r="C333" t="s">
        <v>17</v>
      </c>
      <c r="D333">
        <v>6919</v>
      </c>
      <c r="E333">
        <v>43.78</v>
      </c>
      <c r="F333">
        <v>337.42</v>
      </c>
    </row>
    <row r="334" spans="1:6">
      <c r="A334">
        <v>2022</v>
      </c>
      <c r="B334" t="s">
        <v>28</v>
      </c>
      <c r="C334" t="s">
        <v>8</v>
      </c>
      <c r="D334">
        <v>1853</v>
      </c>
      <c r="E334">
        <v>39.98</v>
      </c>
      <c r="F334">
        <v>103.76</v>
      </c>
    </row>
    <row r="335" spans="1:6">
      <c r="A335">
        <v>2022</v>
      </c>
      <c r="B335" t="s">
        <v>28</v>
      </c>
      <c r="C335" t="s">
        <v>9</v>
      </c>
      <c r="D335">
        <v>5146</v>
      </c>
      <c r="E335">
        <v>11.22</v>
      </c>
      <c r="F335">
        <v>308.72</v>
      </c>
    </row>
    <row r="336" spans="1:6">
      <c r="A336">
        <v>2022</v>
      </c>
      <c r="B336" t="s">
        <v>28</v>
      </c>
      <c r="C336" t="s">
        <v>10</v>
      </c>
      <c r="D336">
        <v>4769</v>
      </c>
      <c r="E336">
        <v>44.69</v>
      </c>
      <c r="F336">
        <v>203</v>
      </c>
    </row>
    <row r="337" spans="1:6">
      <c r="A337">
        <v>2022</v>
      </c>
      <c r="B337" t="s">
        <v>28</v>
      </c>
      <c r="C337" t="s">
        <v>11</v>
      </c>
      <c r="D337">
        <v>1574</v>
      </c>
      <c r="E337">
        <v>24.17</v>
      </c>
      <c r="F337">
        <v>112.43</v>
      </c>
    </row>
    <row r="338" spans="1:6">
      <c r="A338">
        <v>2022</v>
      </c>
      <c r="B338" t="s">
        <v>28</v>
      </c>
      <c r="C338" t="s">
        <v>12</v>
      </c>
      <c r="D338">
        <v>2148</v>
      </c>
      <c r="E338">
        <v>25.89</v>
      </c>
      <c r="F338">
        <v>121.43</v>
      </c>
    </row>
    <row r="339" spans="1:6">
      <c r="A339">
        <v>2022</v>
      </c>
      <c r="B339" t="s">
        <v>28</v>
      </c>
      <c r="C339" t="s">
        <v>13</v>
      </c>
      <c r="D339">
        <v>7293</v>
      </c>
      <c r="E339">
        <v>14.19</v>
      </c>
      <c r="F339">
        <v>379.95</v>
      </c>
    </row>
    <row r="340" spans="1:6">
      <c r="A340">
        <v>2022</v>
      </c>
      <c r="B340" t="s">
        <v>28</v>
      </c>
      <c r="C340" t="s">
        <v>14</v>
      </c>
      <c r="D340">
        <v>7457</v>
      </c>
      <c r="E340">
        <v>39.5</v>
      </c>
      <c r="F340">
        <v>362.48</v>
      </c>
    </row>
    <row r="341" spans="1:6">
      <c r="A341">
        <v>2022</v>
      </c>
      <c r="B341" t="s">
        <v>28</v>
      </c>
      <c r="C341" t="s">
        <v>15</v>
      </c>
      <c r="D341">
        <v>8509</v>
      </c>
      <c r="E341">
        <v>17.29</v>
      </c>
      <c r="F341">
        <v>470.74</v>
      </c>
    </row>
    <row r="342" spans="1:6">
      <c r="A342">
        <v>2022</v>
      </c>
      <c r="B342" t="s">
        <v>28</v>
      </c>
      <c r="C342" t="s">
        <v>16</v>
      </c>
      <c r="D342">
        <v>5777</v>
      </c>
      <c r="E342">
        <v>32.56</v>
      </c>
      <c r="F342">
        <v>305.26</v>
      </c>
    </row>
    <row r="343" spans="1:6">
      <c r="A343">
        <v>2022</v>
      </c>
      <c r="B343" t="s">
        <v>28</v>
      </c>
      <c r="C343" t="s">
        <v>17</v>
      </c>
      <c r="D343">
        <v>4854</v>
      </c>
      <c r="E343">
        <v>43.63</v>
      </c>
      <c r="F343">
        <v>241.35</v>
      </c>
    </row>
    <row r="344" spans="1:6">
      <c r="A344">
        <v>2022</v>
      </c>
      <c r="B344" t="s">
        <v>28</v>
      </c>
      <c r="C344" t="s">
        <v>8</v>
      </c>
      <c r="D344">
        <v>3491</v>
      </c>
      <c r="E344">
        <v>13.57</v>
      </c>
      <c r="F344">
        <v>213.14</v>
      </c>
    </row>
    <row r="345" spans="1:6">
      <c r="A345">
        <v>2022</v>
      </c>
      <c r="B345" t="s">
        <v>28</v>
      </c>
      <c r="C345" t="s">
        <v>9</v>
      </c>
      <c r="D345">
        <v>4124</v>
      </c>
      <c r="E345">
        <v>31.41</v>
      </c>
      <c r="F345">
        <v>237.07</v>
      </c>
    </row>
    <row r="346" spans="1:6">
      <c r="A346">
        <v>2022</v>
      </c>
      <c r="B346" t="s">
        <v>28</v>
      </c>
      <c r="C346" t="s">
        <v>10</v>
      </c>
      <c r="D346">
        <v>6691</v>
      </c>
      <c r="E346">
        <v>19.33</v>
      </c>
      <c r="F346">
        <v>359.41</v>
      </c>
    </row>
    <row r="347" spans="1:6">
      <c r="A347">
        <v>2022</v>
      </c>
      <c r="B347" t="s">
        <v>28</v>
      </c>
      <c r="C347" t="s">
        <v>11</v>
      </c>
      <c r="D347">
        <v>4051</v>
      </c>
      <c r="E347">
        <v>23.72</v>
      </c>
      <c r="F347">
        <v>225.18</v>
      </c>
    </row>
    <row r="348" spans="1:6">
      <c r="A348">
        <v>2022</v>
      </c>
      <c r="B348" t="s">
        <v>28</v>
      </c>
      <c r="C348" t="s">
        <v>12</v>
      </c>
      <c r="D348">
        <v>1004</v>
      </c>
      <c r="E348">
        <v>28.96</v>
      </c>
      <c r="F348">
        <v>88.21</v>
      </c>
    </row>
    <row r="349" spans="1:6">
      <c r="A349">
        <v>2022</v>
      </c>
      <c r="B349" t="s">
        <v>28</v>
      </c>
      <c r="C349" t="s">
        <v>13</v>
      </c>
      <c r="D349">
        <v>6222</v>
      </c>
      <c r="E349">
        <v>24.2</v>
      </c>
      <c r="F349">
        <v>325.42</v>
      </c>
    </row>
    <row r="350" spans="1:6">
      <c r="A350">
        <v>2022</v>
      </c>
      <c r="B350" t="s">
        <v>28</v>
      </c>
      <c r="C350" t="s">
        <v>14</v>
      </c>
      <c r="D350">
        <v>6315</v>
      </c>
      <c r="E350">
        <v>35.95</v>
      </c>
      <c r="F350">
        <v>334.97</v>
      </c>
    </row>
    <row r="351" spans="1:6">
      <c r="A351">
        <v>2022</v>
      </c>
      <c r="B351" t="s">
        <v>28</v>
      </c>
      <c r="C351" t="s">
        <v>15</v>
      </c>
      <c r="D351">
        <v>5869</v>
      </c>
      <c r="E351">
        <v>29.18</v>
      </c>
      <c r="F351">
        <v>298.36</v>
      </c>
    </row>
    <row r="352" spans="1:6">
      <c r="A352">
        <v>2022</v>
      </c>
      <c r="B352" t="s">
        <v>28</v>
      </c>
      <c r="C352" t="s">
        <v>16</v>
      </c>
      <c r="D352">
        <v>1876</v>
      </c>
      <c r="E352">
        <v>33.37</v>
      </c>
      <c r="F352">
        <v>95.44</v>
      </c>
    </row>
    <row r="353" spans="1:6">
      <c r="A353">
        <v>2022</v>
      </c>
      <c r="B353" t="s">
        <v>28</v>
      </c>
      <c r="C353" t="s">
        <v>17</v>
      </c>
      <c r="D353">
        <v>8027</v>
      </c>
      <c r="E353">
        <v>39.47</v>
      </c>
      <c r="F353">
        <v>401.9</v>
      </c>
    </row>
    <row r="354" spans="1:6">
      <c r="A354">
        <v>2022</v>
      </c>
      <c r="B354" t="s">
        <v>28</v>
      </c>
      <c r="C354" t="s">
        <v>8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4"/>
  <sheetViews>
    <sheetView tabSelected="1" workbookViewId="0">
      <selection activeCell="J4" sqref="J4"/>
    </sheetView>
  </sheetViews>
  <sheetFormatPr defaultColWidth="9" defaultRowHeight="14.5"/>
  <cols>
    <col min="4" max="4" width="26.4545454545455" customWidth="1"/>
    <col min="5" max="5" width="18.8181818181818" customWidth="1"/>
    <col min="6" max="6" width="14.5454545454545" customWidth="1"/>
    <col min="9" max="9" width="17.5454545454545" customWidth="1"/>
    <col min="10" max="11" width="10.5454545454545"/>
  </cols>
  <sheetData>
    <row r="1" customFormat="1" spans="1:10">
      <c r="A1" t="s">
        <v>0</v>
      </c>
    </row>
    <row r="3" spans="1:10">
      <c r="A3" s="122" t="s">
        <v>1</v>
      </c>
      <c r="B3" s="122" t="s">
        <v>2</v>
      </c>
      <c r="C3" s="122" t="s">
        <v>3</v>
      </c>
      <c r="D3" s="122" t="s">
        <v>4</v>
      </c>
      <c r="E3" s="122" t="s">
        <v>5</v>
      </c>
      <c r="F3" s="122" t="s">
        <v>6</v>
      </c>
    </row>
    <row r="4" spans="1:10">
      <c r="A4">
        <v>2022</v>
      </c>
      <c r="B4" t="s">
        <v>7</v>
      </c>
      <c r="C4" t="s">
        <v>8</v>
      </c>
      <c r="D4">
        <v>8270</v>
      </c>
      <c r="E4">
        <v>37.98</v>
      </c>
      <c r="F4">
        <v>447.51</v>
      </c>
      <c r="G4" t="str">
        <f>IF(OR(F4&lt;=$J$7,F4&gt;=$J$8),"Outlier","Keep")</f>
        <v>Keep</v>
      </c>
      <c r="I4" s="134" t="s">
        <v>29</v>
      </c>
      <c r="J4" s="135">
        <f>QUARTILE(F4:F354,1)</f>
        <v>184.985</v>
      </c>
    </row>
    <row r="5" spans="1:10">
      <c r="A5">
        <v>2022</v>
      </c>
      <c r="B5" t="s">
        <v>7</v>
      </c>
      <c r="C5" t="s">
        <v>9</v>
      </c>
      <c r="D5">
        <v>1860</v>
      </c>
      <c r="E5">
        <v>15.53</v>
      </c>
      <c r="F5">
        <v>164.08</v>
      </c>
      <c r="G5" t="str">
        <f t="shared" ref="G5:G68" si="0">IF(OR(F5&lt;=$J$7,F5&gt;=$J$8),"Outlier","Keep")</f>
        <v>Keep</v>
      </c>
      <c r="I5" s="136" t="s">
        <v>30</v>
      </c>
      <c r="J5" s="137">
        <f>QUARTILE(F4:F354,3)</f>
        <v>399.11</v>
      </c>
    </row>
    <row r="6" spans="1:10">
      <c r="A6">
        <v>2022</v>
      </c>
      <c r="B6" t="s">
        <v>7</v>
      </c>
      <c r="C6" t="s">
        <v>10</v>
      </c>
      <c r="D6">
        <v>6390</v>
      </c>
      <c r="E6">
        <v>15.31</v>
      </c>
      <c r="F6">
        <v>320.67</v>
      </c>
      <c r="G6" t="str">
        <f t="shared" si="0"/>
        <v>Keep</v>
      </c>
      <c r="I6" s="136" t="s">
        <v>31</v>
      </c>
      <c r="J6" s="137">
        <f>J5-J4</f>
        <v>214.125</v>
      </c>
    </row>
    <row r="7" spans="1:10">
      <c r="A7">
        <v>2022</v>
      </c>
      <c r="B7" t="s">
        <v>7</v>
      </c>
      <c r="C7" t="s">
        <v>11</v>
      </c>
      <c r="D7">
        <v>6191</v>
      </c>
      <c r="E7">
        <v>48.78</v>
      </c>
      <c r="F7">
        <v>278.29</v>
      </c>
      <c r="G7" t="str">
        <f t="shared" si="0"/>
        <v>Keep</v>
      </c>
      <c r="I7" s="136" t="s">
        <v>32</v>
      </c>
      <c r="J7" s="137">
        <f>J4-(1.5*J6)</f>
        <v>-136.2025</v>
      </c>
    </row>
    <row r="8" ht="15.25" spans="1:10">
      <c r="A8">
        <v>2022</v>
      </c>
      <c r="B8" t="s">
        <v>7</v>
      </c>
      <c r="C8" t="s">
        <v>12</v>
      </c>
      <c r="D8">
        <v>6734</v>
      </c>
      <c r="E8">
        <v>38.58</v>
      </c>
      <c r="F8">
        <v>344.92</v>
      </c>
      <c r="G8" t="str">
        <f t="shared" si="0"/>
        <v>Keep</v>
      </c>
      <c r="I8" s="138" t="s">
        <v>33</v>
      </c>
      <c r="J8" s="139">
        <f>J5+(1.5*J6)</f>
        <v>720.2975</v>
      </c>
    </row>
    <row r="9" spans="1:10">
      <c r="A9">
        <v>2022</v>
      </c>
      <c r="B9" t="s">
        <v>7</v>
      </c>
      <c r="C9" t="s">
        <v>13</v>
      </c>
      <c r="D9">
        <v>7265</v>
      </c>
      <c r="E9">
        <v>11.64</v>
      </c>
      <c r="F9">
        <v>416.07</v>
      </c>
      <c r="G9" t="str">
        <f t="shared" si="0"/>
        <v>Keep</v>
      </c>
    </row>
    <row r="10" spans="1:10">
      <c r="A10">
        <v>2022</v>
      </c>
      <c r="B10" t="s">
        <v>7</v>
      </c>
      <c r="C10" t="s">
        <v>14</v>
      </c>
      <c r="D10">
        <v>1466</v>
      </c>
      <c r="E10">
        <v>25.95</v>
      </c>
      <c r="F10">
        <v>91.93</v>
      </c>
      <c r="G10" t="str">
        <f t="shared" si="0"/>
        <v>Keep</v>
      </c>
    </row>
    <row r="11" spans="1:10">
      <c r="A11">
        <v>2022</v>
      </c>
      <c r="B11" t="s">
        <v>7</v>
      </c>
      <c r="C11" t="s">
        <v>15</v>
      </c>
      <c r="D11">
        <v>5426</v>
      </c>
      <c r="E11">
        <v>27.34</v>
      </c>
      <c r="F11">
        <v>255.73</v>
      </c>
      <c r="G11" t="str">
        <f t="shared" si="0"/>
        <v>Keep</v>
      </c>
    </row>
    <row r="12" spans="1:10">
      <c r="A12">
        <v>2022</v>
      </c>
      <c r="B12" t="s">
        <v>7</v>
      </c>
      <c r="C12" t="s">
        <v>16</v>
      </c>
      <c r="D12">
        <v>6578</v>
      </c>
      <c r="E12">
        <v>39.76</v>
      </c>
      <c r="F12">
        <v>341.12</v>
      </c>
      <c r="G12" t="str">
        <f t="shared" si="0"/>
        <v>Keep</v>
      </c>
    </row>
    <row r="13" spans="1:10">
      <c r="A13">
        <v>2022</v>
      </c>
      <c r="B13" t="s">
        <v>7</v>
      </c>
      <c r="C13" t="s">
        <v>17</v>
      </c>
      <c r="D13">
        <v>9322</v>
      </c>
      <c r="E13">
        <v>20.03</v>
      </c>
      <c r="F13">
        <v>488.17</v>
      </c>
      <c r="G13" t="str">
        <f t="shared" si="0"/>
        <v>Keep</v>
      </c>
    </row>
    <row r="14" spans="1:10">
      <c r="A14">
        <v>2022</v>
      </c>
      <c r="B14" t="s">
        <v>7</v>
      </c>
      <c r="C14" t="s">
        <v>8</v>
      </c>
      <c r="D14">
        <v>2685</v>
      </c>
      <c r="E14">
        <v>17.37</v>
      </c>
      <c r="F14">
        <v>159.28</v>
      </c>
      <c r="G14" t="str">
        <f t="shared" si="0"/>
        <v>Keep</v>
      </c>
    </row>
    <row r="15" spans="1:10">
      <c r="A15">
        <v>2022</v>
      </c>
      <c r="B15" t="s">
        <v>7</v>
      </c>
      <c r="C15" t="s">
        <v>9</v>
      </c>
      <c r="D15">
        <v>1769</v>
      </c>
      <c r="E15">
        <v>13.23</v>
      </c>
      <c r="F15">
        <v>77.01</v>
      </c>
      <c r="G15" t="str">
        <f t="shared" si="0"/>
        <v>Keep</v>
      </c>
      <c r="J15" s="72"/>
    </row>
    <row r="16" spans="1:10">
      <c r="A16">
        <v>2022</v>
      </c>
      <c r="B16" t="s">
        <v>7</v>
      </c>
      <c r="C16" t="s">
        <v>10</v>
      </c>
      <c r="D16">
        <v>7949</v>
      </c>
      <c r="E16">
        <v>27.13</v>
      </c>
      <c r="F16">
        <v>430.84</v>
      </c>
      <c r="G16" t="str">
        <f t="shared" si="0"/>
        <v>Keep</v>
      </c>
    </row>
    <row r="17" spans="1:7">
      <c r="A17">
        <v>2022</v>
      </c>
      <c r="B17" t="s">
        <v>7</v>
      </c>
      <c r="C17" t="s">
        <v>11</v>
      </c>
      <c r="D17">
        <v>3433</v>
      </c>
      <c r="E17">
        <v>37.54</v>
      </c>
      <c r="F17">
        <v>179.51</v>
      </c>
      <c r="G17" t="str">
        <f t="shared" si="0"/>
        <v>Keep</v>
      </c>
    </row>
    <row r="18" spans="1:7">
      <c r="A18">
        <v>2022</v>
      </c>
      <c r="B18" t="s">
        <v>7</v>
      </c>
      <c r="C18" t="s">
        <v>12</v>
      </c>
      <c r="D18">
        <v>6311</v>
      </c>
      <c r="E18">
        <v>12.33</v>
      </c>
      <c r="F18">
        <v>386.66</v>
      </c>
      <c r="G18" t="str">
        <f t="shared" si="0"/>
        <v>Keep</v>
      </c>
    </row>
    <row r="19" spans="1:7">
      <c r="A19">
        <v>2022</v>
      </c>
      <c r="B19" t="s">
        <v>7</v>
      </c>
      <c r="C19" t="s">
        <v>13</v>
      </c>
      <c r="D19">
        <v>6051</v>
      </c>
      <c r="E19">
        <v>46.61</v>
      </c>
      <c r="F19">
        <v>295.13</v>
      </c>
      <c r="G19" t="str">
        <f t="shared" si="0"/>
        <v>Keep</v>
      </c>
    </row>
    <row r="20" spans="1:7">
      <c r="A20">
        <v>2022</v>
      </c>
      <c r="B20" t="s">
        <v>7</v>
      </c>
      <c r="C20" t="s">
        <v>14</v>
      </c>
      <c r="D20">
        <v>7420</v>
      </c>
      <c r="E20">
        <v>27.69</v>
      </c>
      <c r="F20">
        <v>399.09</v>
      </c>
      <c r="G20" t="str">
        <f t="shared" si="0"/>
        <v>Keep</v>
      </c>
    </row>
    <row r="21" spans="1:7">
      <c r="A21">
        <v>2022</v>
      </c>
      <c r="B21" t="s">
        <v>7</v>
      </c>
      <c r="C21" t="s">
        <v>15</v>
      </c>
      <c r="D21">
        <v>2184</v>
      </c>
      <c r="E21">
        <v>19.59</v>
      </c>
      <c r="F21">
        <v>152.33</v>
      </c>
      <c r="G21" t="str">
        <f t="shared" si="0"/>
        <v>Keep</v>
      </c>
    </row>
    <row r="22" spans="1:7">
      <c r="A22">
        <v>2022</v>
      </c>
      <c r="B22" t="s">
        <v>7</v>
      </c>
      <c r="C22" t="s">
        <v>16</v>
      </c>
      <c r="D22">
        <v>5555</v>
      </c>
      <c r="E22">
        <v>13.75</v>
      </c>
      <c r="F22">
        <v>276.32</v>
      </c>
      <c r="G22" t="str">
        <f t="shared" si="0"/>
        <v>Keep</v>
      </c>
    </row>
    <row r="23" spans="1:7">
      <c r="A23">
        <v>2022</v>
      </c>
      <c r="B23" t="s">
        <v>7</v>
      </c>
      <c r="C23" t="s">
        <v>17</v>
      </c>
      <c r="D23">
        <v>4385</v>
      </c>
      <c r="E23">
        <v>17.31</v>
      </c>
      <c r="F23">
        <v>300.81</v>
      </c>
      <c r="G23" t="str">
        <f t="shared" si="0"/>
        <v>Keep</v>
      </c>
    </row>
    <row r="24" spans="1:7">
      <c r="A24">
        <v>2022</v>
      </c>
      <c r="B24" t="s">
        <v>7</v>
      </c>
      <c r="C24" t="s">
        <v>8</v>
      </c>
      <c r="D24">
        <v>7396</v>
      </c>
      <c r="E24">
        <v>47.38</v>
      </c>
      <c r="F24">
        <v>354.32</v>
      </c>
      <c r="G24" t="str">
        <f t="shared" si="0"/>
        <v>Keep</v>
      </c>
    </row>
    <row r="25" spans="1:7">
      <c r="A25">
        <v>2022</v>
      </c>
      <c r="B25" t="s">
        <v>7</v>
      </c>
      <c r="C25" t="s">
        <v>9</v>
      </c>
      <c r="D25">
        <v>9666</v>
      </c>
      <c r="E25">
        <v>35.53</v>
      </c>
      <c r="F25">
        <v>500.55</v>
      </c>
      <c r="G25" t="str">
        <f t="shared" si="0"/>
        <v>Keep</v>
      </c>
    </row>
    <row r="26" spans="1:7">
      <c r="A26">
        <v>2022</v>
      </c>
      <c r="B26" t="s">
        <v>7</v>
      </c>
      <c r="C26" t="s">
        <v>10</v>
      </c>
      <c r="D26">
        <v>3558</v>
      </c>
      <c r="E26">
        <v>30.67</v>
      </c>
      <c r="F26">
        <v>203.91</v>
      </c>
      <c r="G26" t="str">
        <f t="shared" si="0"/>
        <v>Keep</v>
      </c>
    </row>
    <row r="27" spans="1:7">
      <c r="A27">
        <v>2022</v>
      </c>
      <c r="B27" t="s">
        <v>7</v>
      </c>
      <c r="C27" t="s">
        <v>11</v>
      </c>
      <c r="D27">
        <v>8849</v>
      </c>
      <c r="E27">
        <v>36.28</v>
      </c>
      <c r="F27">
        <v>432.61</v>
      </c>
      <c r="G27" t="str">
        <f t="shared" si="0"/>
        <v>Keep</v>
      </c>
    </row>
    <row r="28" spans="1:7">
      <c r="A28">
        <v>2022</v>
      </c>
      <c r="B28" t="s">
        <v>7</v>
      </c>
      <c r="C28" t="s">
        <v>12</v>
      </c>
      <c r="D28">
        <v>3047</v>
      </c>
      <c r="E28">
        <v>27.43</v>
      </c>
      <c r="F28">
        <v>206.38</v>
      </c>
      <c r="G28" t="str">
        <f t="shared" si="0"/>
        <v>Keep</v>
      </c>
    </row>
    <row r="29" spans="1:7">
      <c r="A29">
        <v>2022</v>
      </c>
      <c r="B29" t="s">
        <v>7</v>
      </c>
      <c r="C29" t="s">
        <v>13</v>
      </c>
      <c r="D29">
        <v>3747</v>
      </c>
      <c r="E29">
        <v>39.2</v>
      </c>
      <c r="F29">
        <v>195.63</v>
      </c>
      <c r="G29" t="str">
        <f t="shared" si="0"/>
        <v>Keep</v>
      </c>
    </row>
    <row r="30" spans="1:7">
      <c r="A30">
        <v>2022</v>
      </c>
      <c r="B30" t="s">
        <v>7</v>
      </c>
      <c r="C30" t="s">
        <v>14</v>
      </c>
      <c r="D30">
        <v>1189</v>
      </c>
      <c r="E30">
        <v>11.91</v>
      </c>
      <c r="F30">
        <v>90.89</v>
      </c>
      <c r="G30" t="str">
        <f t="shared" si="0"/>
        <v>Keep</v>
      </c>
    </row>
    <row r="31" spans="1:7">
      <c r="A31">
        <v>2022</v>
      </c>
      <c r="B31" t="s">
        <v>7</v>
      </c>
      <c r="C31" t="s">
        <v>15</v>
      </c>
      <c r="D31">
        <v>3734</v>
      </c>
      <c r="E31">
        <v>32.64</v>
      </c>
      <c r="F31">
        <v>200.3</v>
      </c>
      <c r="G31" t="str">
        <f t="shared" si="0"/>
        <v>Keep</v>
      </c>
    </row>
    <row r="32" spans="1:7">
      <c r="A32">
        <v>2022</v>
      </c>
      <c r="B32" t="s">
        <v>7</v>
      </c>
      <c r="C32" t="s">
        <v>16</v>
      </c>
      <c r="D32">
        <v>4005</v>
      </c>
      <c r="E32">
        <v>16.35</v>
      </c>
      <c r="F32">
        <v>245.92</v>
      </c>
      <c r="G32" t="str">
        <f t="shared" si="0"/>
        <v>Keep</v>
      </c>
    </row>
    <row r="33" spans="1:7">
      <c r="A33">
        <v>2022</v>
      </c>
      <c r="B33" t="s">
        <v>7</v>
      </c>
      <c r="C33" t="s">
        <v>17</v>
      </c>
      <c r="D33">
        <v>5658</v>
      </c>
      <c r="E33">
        <v>14.81</v>
      </c>
      <c r="F33">
        <v>315.35</v>
      </c>
      <c r="G33" t="str">
        <f t="shared" si="0"/>
        <v>Keep</v>
      </c>
    </row>
    <row r="34" spans="1:7">
      <c r="A34">
        <v>2022</v>
      </c>
      <c r="B34" t="s">
        <v>7</v>
      </c>
      <c r="C34" t="s">
        <v>8</v>
      </c>
      <c r="D34">
        <v>2899</v>
      </c>
      <c r="E34">
        <v>23.68</v>
      </c>
      <c r="F34">
        <v>184.18</v>
      </c>
      <c r="G34" t="str">
        <f t="shared" si="0"/>
        <v>Keep</v>
      </c>
    </row>
    <row r="35" spans="1:7">
      <c r="A35">
        <v>2022</v>
      </c>
      <c r="B35" t="s">
        <v>18</v>
      </c>
      <c r="C35" t="s">
        <v>9</v>
      </c>
      <c r="D35">
        <v>8734</v>
      </c>
      <c r="E35">
        <v>13.67</v>
      </c>
      <c r="F35">
        <v>436.6</v>
      </c>
      <c r="G35" t="str">
        <f t="shared" si="0"/>
        <v>Keep</v>
      </c>
    </row>
    <row r="36" spans="1:7">
      <c r="A36">
        <v>2022</v>
      </c>
      <c r="B36" t="s">
        <v>18</v>
      </c>
      <c r="C36" t="s">
        <v>10</v>
      </c>
      <c r="D36">
        <v>2267</v>
      </c>
      <c r="E36">
        <v>13.77</v>
      </c>
      <c r="F36">
        <v>131.87</v>
      </c>
      <c r="G36" t="str">
        <f t="shared" si="0"/>
        <v>Keep</v>
      </c>
    </row>
    <row r="37" spans="1:7">
      <c r="A37">
        <v>2022</v>
      </c>
      <c r="B37" t="s">
        <v>18</v>
      </c>
      <c r="C37" t="s">
        <v>11</v>
      </c>
      <c r="D37">
        <v>2528</v>
      </c>
      <c r="E37">
        <v>22.46</v>
      </c>
      <c r="F37">
        <v>106.68</v>
      </c>
      <c r="G37" t="str">
        <f t="shared" si="0"/>
        <v>Keep</v>
      </c>
    </row>
    <row r="38" spans="1:7">
      <c r="A38">
        <v>2022</v>
      </c>
      <c r="B38" t="s">
        <v>18</v>
      </c>
      <c r="C38" t="s">
        <v>12</v>
      </c>
      <c r="D38">
        <v>4556</v>
      </c>
      <c r="E38">
        <v>49.18</v>
      </c>
      <c r="F38">
        <v>258.72</v>
      </c>
      <c r="G38" t="str">
        <f t="shared" si="0"/>
        <v>Keep</v>
      </c>
    </row>
    <row r="39" spans="1:7">
      <c r="A39">
        <v>2022</v>
      </c>
      <c r="B39" t="s">
        <v>18</v>
      </c>
      <c r="C39" t="s">
        <v>13</v>
      </c>
      <c r="D39">
        <v>4890</v>
      </c>
      <c r="E39">
        <v>17.01</v>
      </c>
      <c r="F39">
        <v>313.76</v>
      </c>
      <c r="G39" t="str">
        <f t="shared" si="0"/>
        <v>Keep</v>
      </c>
    </row>
    <row r="40" spans="1:7">
      <c r="A40">
        <v>2022</v>
      </c>
      <c r="B40" t="s">
        <v>18</v>
      </c>
      <c r="C40" t="s">
        <v>14</v>
      </c>
      <c r="D40">
        <v>9838</v>
      </c>
      <c r="E40">
        <v>10.69</v>
      </c>
      <c r="F40">
        <v>541.61</v>
      </c>
      <c r="G40" t="str">
        <f t="shared" si="0"/>
        <v>Keep</v>
      </c>
    </row>
    <row r="41" spans="1:7">
      <c r="A41">
        <v>2022</v>
      </c>
      <c r="B41" t="s">
        <v>18</v>
      </c>
      <c r="C41" t="s">
        <v>15</v>
      </c>
      <c r="D41">
        <v>6393</v>
      </c>
      <c r="E41">
        <v>40.53</v>
      </c>
      <c r="F41">
        <v>300.76</v>
      </c>
      <c r="G41" t="str">
        <f t="shared" si="0"/>
        <v>Keep</v>
      </c>
    </row>
    <row r="42" spans="1:7">
      <c r="A42">
        <v>2022</v>
      </c>
      <c r="B42" t="s">
        <v>18</v>
      </c>
      <c r="C42" t="s">
        <v>16</v>
      </c>
      <c r="D42">
        <v>9792</v>
      </c>
      <c r="E42">
        <v>42.28</v>
      </c>
      <c r="F42">
        <v>536.67</v>
      </c>
      <c r="G42" t="str">
        <f t="shared" si="0"/>
        <v>Keep</v>
      </c>
    </row>
    <row r="43" spans="1:7">
      <c r="A43">
        <v>2022</v>
      </c>
      <c r="B43" t="s">
        <v>18</v>
      </c>
      <c r="C43" t="s">
        <v>17</v>
      </c>
      <c r="D43">
        <v>9433</v>
      </c>
      <c r="E43">
        <v>23.85</v>
      </c>
      <c r="F43">
        <v>480.94</v>
      </c>
      <c r="G43" t="str">
        <f t="shared" si="0"/>
        <v>Keep</v>
      </c>
    </row>
    <row r="44" spans="1:7">
      <c r="A44">
        <v>2022</v>
      </c>
      <c r="B44" t="s">
        <v>18</v>
      </c>
      <c r="C44" t="s">
        <v>8</v>
      </c>
      <c r="D44">
        <v>8513</v>
      </c>
      <c r="E44">
        <v>28.59</v>
      </c>
      <c r="F44">
        <v>437.08</v>
      </c>
      <c r="G44" t="str">
        <f t="shared" si="0"/>
        <v>Keep</v>
      </c>
    </row>
    <row r="45" spans="1:7">
      <c r="A45">
        <v>2022</v>
      </c>
      <c r="B45" t="s">
        <v>18</v>
      </c>
      <c r="C45" t="s">
        <v>9</v>
      </c>
      <c r="D45">
        <v>3612</v>
      </c>
      <c r="E45">
        <v>35.99</v>
      </c>
      <c r="F45">
        <v>190.6</v>
      </c>
      <c r="G45" t="str">
        <f t="shared" si="0"/>
        <v>Keep</v>
      </c>
    </row>
    <row r="46" spans="1:7">
      <c r="A46">
        <v>2022</v>
      </c>
      <c r="B46" t="s">
        <v>18</v>
      </c>
      <c r="C46" t="s">
        <v>10</v>
      </c>
      <c r="D46">
        <v>8041</v>
      </c>
      <c r="E46">
        <v>11.92</v>
      </c>
      <c r="F46">
        <v>446.77</v>
      </c>
      <c r="G46" t="str">
        <f t="shared" si="0"/>
        <v>Keep</v>
      </c>
    </row>
    <row r="47" spans="1:7">
      <c r="A47">
        <v>2022</v>
      </c>
      <c r="B47" t="s">
        <v>18</v>
      </c>
      <c r="C47" t="s">
        <v>11</v>
      </c>
      <c r="D47">
        <v>7235</v>
      </c>
      <c r="E47">
        <v>47.97</v>
      </c>
      <c r="F47">
        <v>367.07</v>
      </c>
      <c r="G47" t="str">
        <f t="shared" si="0"/>
        <v>Keep</v>
      </c>
    </row>
    <row r="48" spans="1:7">
      <c r="A48">
        <v>2022</v>
      </c>
      <c r="B48" t="s">
        <v>18</v>
      </c>
      <c r="C48" t="s">
        <v>12</v>
      </c>
      <c r="D48">
        <v>6486</v>
      </c>
      <c r="E48">
        <v>45.47</v>
      </c>
      <c r="F48">
        <v>333.42</v>
      </c>
      <c r="G48" t="str">
        <f t="shared" si="0"/>
        <v>Keep</v>
      </c>
    </row>
    <row r="49" spans="1:7">
      <c r="A49">
        <v>2022</v>
      </c>
      <c r="B49" t="s">
        <v>18</v>
      </c>
      <c r="C49" t="s">
        <v>13</v>
      </c>
      <c r="D49">
        <v>8099</v>
      </c>
      <c r="E49">
        <v>20.44</v>
      </c>
      <c r="F49">
        <v>427.54</v>
      </c>
      <c r="G49" t="str">
        <f t="shared" si="0"/>
        <v>Keep</v>
      </c>
    </row>
    <row r="50" spans="1:7">
      <c r="A50">
        <v>2022</v>
      </c>
      <c r="B50" t="s">
        <v>18</v>
      </c>
      <c r="C50" t="s">
        <v>14</v>
      </c>
      <c r="D50">
        <v>1775</v>
      </c>
      <c r="E50">
        <v>10.61</v>
      </c>
      <c r="F50">
        <v>139.38</v>
      </c>
      <c r="G50" t="str">
        <f t="shared" si="0"/>
        <v>Keep</v>
      </c>
    </row>
    <row r="51" spans="1:7">
      <c r="A51">
        <v>2022</v>
      </c>
      <c r="B51" t="s">
        <v>18</v>
      </c>
      <c r="C51" t="s">
        <v>15</v>
      </c>
      <c r="D51">
        <v>9226</v>
      </c>
      <c r="E51">
        <v>47.34</v>
      </c>
      <c r="F51">
        <v>450.71</v>
      </c>
      <c r="G51" t="str">
        <f t="shared" si="0"/>
        <v>Keep</v>
      </c>
    </row>
    <row r="52" spans="1:7">
      <c r="A52">
        <v>2022</v>
      </c>
      <c r="B52" t="s">
        <v>18</v>
      </c>
      <c r="C52" t="s">
        <v>16</v>
      </c>
      <c r="D52">
        <v>4152</v>
      </c>
      <c r="E52">
        <v>30.04</v>
      </c>
      <c r="F52">
        <v>233.14</v>
      </c>
      <c r="G52" t="str">
        <f t="shared" si="0"/>
        <v>Keep</v>
      </c>
    </row>
    <row r="53" spans="1:7">
      <c r="A53">
        <v>2022</v>
      </c>
      <c r="B53" t="s">
        <v>18</v>
      </c>
      <c r="C53" t="s">
        <v>17</v>
      </c>
      <c r="D53">
        <v>2585</v>
      </c>
      <c r="E53">
        <v>31.58</v>
      </c>
      <c r="F53">
        <v>151.31</v>
      </c>
      <c r="G53" t="str">
        <f t="shared" si="0"/>
        <v>Keep</v>
      </c>
    </row>
    <row r="54" spans="1:7">
      <c r="A54">
        <v>2022</v>
      </c>
      <c r="B54" t="s">
        <v>18</v>
      </c>
      <c r="C54" t="s">
        <v>8</v>
      </c>
      <c r="D54">
        <v>4943</v>
      </c>
      <c r="E54">
        <v>37.36</v>
      </c>
      <c r="F54">
        <v>267.58</v>
      </c>
      <c r="G54" t="str">
        <f t="shared" si="0"/>
        <v>Keep</v>
      </c>
    </row>
    <row r="55" spans="1:7">
      <c r="A55">
        <v>2022</v>
      </c>
      <c r="B55" t="s">
        <v>18</v>
      </c>
      <c r="C55" t="s">
        <v>9</v>
      </c>
      <c r="D55">
        <v>8555</v>
      </c>
      <c r="E55">
        <v>34.63</v>
      </c>
      <c r="F55">
        <v>448.95</v>
      </c>
      <c r="G55" t="str">
        <f t="shared" si="0"/>
        <v>Keep</v>
      </c>
    </row>
    <row r="56" spans="1:7">
      <c r="A56">
        <v>2022</v>
      </c>
      <c r="B56" t="s">
        <v>18</v>
      </c>
      <c r="C56" t="s">
        <v>10</v>
      </c>
      <c r="D56">
        <v>4073</v>
      </c>
      <c r="E56">
        <v>47.76</v>
      </c>
      <c r="F56">
        <v>187.49</v>
      </c>
      <c r="G56" t="str">
        <f t="shared" si="0"/>
        <v>Keep</v>
      </c>
    </row>
    <row r="57" spans="1:7">
      <c r="A57">
        <v>2022</v>
      </c>
      <c r="B57" t="s">
        <v>18</v>
      </c>
      <c r="C57" t="s">
        <v>11</v>
      </c>
      <c r="D57">
        <v>2021</v>
      </c>
      <c r="E57">
        <v>47.77</v>
      </c>
      <c r="F57">
        <v>102.9</v>
      </c>
      <c r="G57" t="str">
        <f t="shared" si="0"/>
        <v>Keep</v>
      </c>
    </row>
    <row r="58" spans="1:7">
      <c r="A58">
        <v>2022</v>
      </c>
      <c r="B58" t="s">
        <v>18</v>
      </c>
      <c r="C58" t="s">
        <v>12</v>
      </c>
      <c r="D58">
        <v>4843</v>
      </c>
      <c r="E58">
        <v>44.69</v>
      </c>
      <c r="F58">
        <v>251.59</v>
      </c>
      <c r="G58" t="str">
        <f t="shared" si="0"/>
        <v>Keep</v>
      </c>
    </row>
    <row r="59" spans="1:7">
      <c r="A59">
        <v>2022</v>
      </c>
      <c r="B59" t="s">
        <v>18</v>
      </c>
      <c r="C59" t="s">
        <v>13</v>
      </c>
      <c r="D59">
        <v>8989</v>
      </c>
      <c r="E59">
        <v>35.46</v>
      </c>
      <c r="F59">
        <v>431.08</v>
      </c>
      <c r="G59" t="str">
        <f t="shared" si="0"/>
        <v>Keep</v>
      </c>
    </row>
    <row r="60" spans="1:7">
      <c r="A60">
        <v>2022</v>
      </c>
      <c r="B60" t="s">
        <v>18</v>
      </c>
      <c r="C60" t="s">
        <v>14</v>
      </c>
      <c r="D60">
        <v>7873</v>
      </c>
      <c r="E60">
        <v>42.04</v>
      </c>
      <c r="F60">
        <v>387.72</v>
      </c>
      <c r="G60" t="str">
        <f t="shared" si="0"/>
        <v>Keep</v>
      </c>
    </row>
    <row r="61" spans="1:7">
      <c r="A61">
        <v>2022</v>
      </c>
      <c r="B61" t="s">
        <v>18</v>
      </c>
      <c r="C61" t="s">
        <v>15</v>
      </c>
      <c r="D61">
        <v>6675</v>
      </c>
      <c r="E61">
        <v>37.09</v>
      </c>
      <c r="F61">
        <v>351.41</v>
      </c>
      <c r="G61" t="str">
        <f t="shared" si="0"/>
        <v>Keep</v>
      </c>
    </row>
    <row r="62" spans="1:7">
      <c r="A62">
        <v>2022</v>
      </c>
      <c r="B62" t="s">
        <v>18</v>
      </c>
      <c r="C62" t="s">
        <v>16</v>
      </c>
      <c r="D62">
        <v>1161</v>
      </c>
      <c r="E62">
        <v>32.93</v>
      </c>
      <c r="F62">
        <v>102.71</v>
      </c>
      <c r="G62" t="str">
        <f t="shared" si="0"/>
        <v>Keep</v>
      </c>
    </row>
    <row r="63" spans="1:7">
      <c r="A63">
        <v>2022</v>
      </c>
      <c r="B63" t="s">
        <v>19</v>
      </c>
      <c r="C63" t="s">
        <v>17</v>
      </c>
      <c r="D63">
        <v>5297</v>
      </c>
      <c r="E63">
        <v>15.14</v>
      </c>
      <c r="F63">
        <v>313.18</v>
      </c>
      <c r="G63" t="str">
        <f t="shared" si="0"/>
        <v>Keep</v>
      </c>
    </row>
    <row r="64" spans="1:7">
      <c r="A64">
        <v>2022</v>
      </c>
      <c r="B64" t="s">
        <v>19</v>
      </c>
      <c r="C64" t="s">
        <v>8</v>
      </c>
      <c r="D64">
        <v>1995</v>
      </c>
      <c r="E64">
        <v>42.45</v>
      </c>
      <c r="F64">
        <v>134.26</v>
      </c>
      <c r="G64" t="str">
        <f t="shared" si="0"/>
        <v>Keep</v>
      </c>
    </row>
    <row r="65" spans="1:7">
      <c r="A65">
        <v>2022</v>
      </c>
      <c r="B65" t="s">
        <v>19</v>
      </c>
      <c r="C65" t="s">
        <v>9</v>
      </c>
      <c r="D65">
        <v>8629</v>
      </c>
      <c r="E65">
        <v>42.83</v>
      </c>
      <c r="F65">
        <v>422.09</v>
      </c>
      <c r="G65" t="str">
        <f t="shared" si="0"/>
        <v>Keep</v>
      </c>
    </row>
    <row r="66" spans="1:7">
      <c r="A66">
        <v>2022</v>
      </c>
      <c r="B66" t="s">
        <v>19</v>
      </c>
      <c r="C66" t="s">
        <v>10</v>
      </c>
      <c r="D66">
        <v>2016</v>
      </c>
      <c r="E66">
        <v>35.04</v>
      </c>
      <c r="F66">
        <v>113.76</v>
      </c>
      <c r="G66" t="str">
        <f t="shared" si="0"/>
        <v>Keep</v>
      </c>
    </row>
    <row r="67" spans="1:7">
      <c r="A67">
        <v>2022</v>
      </c>
      <c r="B67" t="s">
        <v>19</v>
      </c>
      <c r="C67" t="s">
        <v>11</v>
      </c>
      <c r="D67">
        <v>8869</v>
      </c>
      <c r="E67">
        <v>42.82</v>
      </c>
      <c r="F67">
        <v>458.18</v>
      </c>
      <c r="G67" t="str">
        <f t="shared" si="0"/>
        <v>Keep</v>
      </c>
    </row>
    <row r="68" spans="1:7">
      <c r="A68">
        <v>2022</v>
      </c>
      <c r="B68" t="s">
        <v>19</v>
      </c>
      <c r="C68" t="s">
        <v>12</v>
      </c>
      <c r="D68">
        <v>7439</v>
      </c>
      <c r="E68">
        <v>36.06</v>
      </c>
      <c r="F68">
        <v>332.15</v>
      </c>
      <c r="G68" t="str">
        <f t="shared" si="0"/>
        <v>Keep</v>
      </c>
    </row>
    <row r="69" spans="1:7">
      <c r="A69">
        <v>2022</v>
      </c>
      <c r="B69" t="s">
        <v>19</v>
      </c>
      <c r="C69" t="s">
        <v>13</v>
      </c>
      <c r="D69">
        <v>8892</v>
      </c>
      <c r="E69">
        <v>18.27</v>
      </c>
      <c r="F69">
        <v>502.9</v>
      </c>
      <c r="G69" t="str">
        <f t="shared" ref="G69:G132" si="1">IF(OR(F69&lt;=$J$7,F69&gt;=$J$8),"Outlier","Keep")</f>
        <v>Keep</v>
      </c>
    </row>
    <row r="70" spans="1:7">
      <c r="A70">
        <v>2022</v>
      </c>
      <c r="B70" t="s">
        <v>19</v>
      </c>
      <c r="C70" t="s">
        <v>14</v>
      </c>
      <c r="D70">
        <v>7863</v>
      </c>
      <c r="E70">
        <v>20.96</v>
      </c>
      <c r="F70">
        <v>380.78</v>
      </c>
      <c r="G70" t="str">
        <f t="shared" si="1"/>
        <v>Keep</v>
      </c>
    </row>
    <row r="71" spans="1:7">
      <c r="A71">
        <v>2022</v>
      </c>
      <c r="B71" t="s">
        <v>19</v>
      </c>
      <c r="C71" t="s">
        <v>15</v>
      </c>
      <c r="D71">
        <v>8916</v>
      </c>
      <c r="E71">
        <v>18.58</v>
      </c>
      <c r="F71">
        <v>493.44</v>
      </c>
      <c r="G71" t="str">
        <f t="shared" si="1"/>
        <v>Keep</v>
      </c>
    </row>
    <row r="72" spans="1:7">
      <c r="A72">
        <v>2022</v>
      </c>
      <c r="B72" t="s">
        <v>19</v>
      </c>
      <c r="C72" t="s">
        <v>16</v>
      </c>
      <c r="D72">
        <v>9529</v>
      </c>
      <c r="E72">
        <v>25.09</v>
      </c>
      <c r="F72">
        <v>510.08</v>
      </c>
      <c r="G72" t="str">
        <f t="shared" si="1"/>
        <v>Keep</v>
      </c>
    </row>
    <row r="73" spans="1:7">
      <c r="A73">
        <v>2022</v>
      </c>
      <c r="B73" t="s">
        <v>19</v>
      </c>
      <c r="C73" t="s">
        <v>17</v>
      </c>
      <c r="D73">
        <v>1878</v>
      </c>
      <c r="E73">
        <v>11.56</v>
      </c>
      <c r="F73">
        <v>83.24</v>
      </c>
      <c r="G73" t="str">
        <f t="shared" si="1"/>
        <v>Keep</v>
      </c>
    </row>
    <row r="74" spans="1:7">
      <c r="A74">
        <v>2022</v>
      </c>
      <c r="B74" t="s">
        <v>19</v>
      </c>
      <c r="C74" t="s">
        <v>8</v>
      </c>
      <c r="D74">
        <v>5887</v>
      </c>
      <c r="E74">
        <v>34.73</v>
      </c>
      <c r="F74">
        <v>256.89</v>
      </c>
      <c r="G74" t="str">
        <f t="shared" si="1"/>
        <v>Keep</v>
      </c>
    </row>
    <row r="75" spans="1:7">
      <c r="A75">
        <v>2022</v>
      </c>
      <c r="B75" t="s">
        <v>19</v>
      </c>
      <c r="C75" t="s">
        <v>9</v>
      </c>
      <c r="D75">
        <v>5859</v>
      </c>
      <c r="E75">
        <v>23.46</v>
      </c>
      <c r="F75">
        <v>343.45</v>
      </c>
      <c r="G75" t="str">
        <f t="shared" si="1"/>
        <v>Keep</v>
      </c>
    </row>
    <row r="76" spans="1:7">
      <c r="A76">
        <v>2022</v>
      </c>
      <c r="B76" t="s">
        <v>19</v>
      </c>
      <c r="C76" t="s">
        <v>10</v>
      </c>
      <c r="D76">
        <v>7331</v>
      </c>
      <c r="E76">
        <v>36.23</v>
      </c>
      <c r="F76">
        <v>397.37</v>
      </c>
      <c r="G76" t="str">
        <f t="shared" si="1"/>
        <v>Keep</v>
      </c>
    </row>
    <row r="77" spans="1:7">
      <c r="A77">
        <v>2022</v>
      </c>
      <c r="B77" t="s">
        <v>19</v>
      </c>
      <c r="C77" t="s">
        <v>11</v>
      </c>
      <c r="D77">
        <v>9571</v>
      </c>
      <c r="E77">
        <v>25.42</v>
      </c>
      <c r="F77">
        <v>480.43</v>
      </c>
      <c r="G77" t="str">
        <f t="shared" si="1"/>
        <v>Keep</v>
      </c>
    </row>
    <row r="78" spans="1:7">
      <c r="A78">
        <v>2022</v>
      </c>
      <c r="B78" t="s">
        <v>19</v>
      </c>
      <c r="C78" t="s">
        <v>12</v>
      </c>
      <c r="D78">
        <v>9684</v>
      </c>
      <c r="E78">
        <v>37.26</v>
      </c>
      <c r="F78">
        <v>471.84</v>
      </c>
      <c r="G78" t="str">
        <f t="shared" si="1"/>
        <v>Keep</v>
      </c>
    </row>
    <row r="79" spans="1:7">
      <c r="A79">
        <v>2022</v>
      </c>
      <c r="B79" t="s">
        <v>19</v>
      </c>
      <c r="C79" t="s">
        <v>13</v>
      </c>
      <c r="D79">
        <v>8208</v>
      </c>
      <c r="E79">
        <v>23.62</v>
      </c>
      <c r="F79">
        <v>442.3</v>
      </c>
      <c r="G79" t="str">
        <f t="shared" si="1"/>
        <v>Keep</v>
      </c>
    </row>
    <row r="80" spans="1:7">
      <c r="A80">
        <v>2022</v>
      </c>
      <c r="B80" t="s">
        <v>19</v>
      </c>
      <c r="C80" t="s">
        <v>14</v>
      </c>
      <c r="D80">
        <v>6276</v>
      </c>
      <c r="E80">
        <v>20.43</v>
      </c>
      <c r="F80">
        <v>339.03</v>
      </c>
      <c r="G80" t="str">
        <f t="shared" si="1"/>
        <v>Keep</v>
      </c>
    </row>
    <row r="81" spans="1:7">
      <c r="A81">
        <v>2022</v>
      </c>
      <c r="B81" t="s">
        <v>19</v>
      </c>
      <c r="C81" t="s">
        <v>15</v>
      </c>
      <c r="D81">
        <v>3062</v>
      </c>
      <c r="E81">
        <v>29.84</v>
      </c>
      <c r="F81">
        <v>188.38</v>
      </c>
      <c r="G81" t="str">
        <f t="shared" si="1"/>
        <v>Keep</v>
      </c>
    </row>
    <row r="82" spans="1:7">
      <c r="A82">
        <v>2022</v>
      </c>
      <c r="B82" t="s">
        <v>19</v>
      </c>
      <c r="C82" t="s">
        <v>16</v>
      </c>
      <c r="D82">
        <v>1064</v>
      </c>
      <c r="E82">
        <v>37.72</v>
      </c>
      <c r="F82">
        <v>67.53</v>
      </c>
      <c r="G82" t="str">
        <f t="shared" si="1"/>
        <v>Keep</v>
      </c>
    </row>
    <row r="83" spans="1:7">
      <c r="A83">
        <v>2022</v>
      </c>
      <c r="B83" t="s">
        <v>19</v>
      </c>
      <c r="C83" t="s">
        <v>17</v>
      </c>
      <c r="D83">
        <v>9006</v>
      </c>
      <c r="E83">
        <v>23.93</v>
      </c>
      <c r="F83">
        <v>503.24</v>
      </c>
      <c r="G83" t="str">
        <f t="shared" si="1"/>
        <v>Keep</v>
      </c>
    </row>
    <row r="84" spans="1:7">
      <c r="A84">
        <v>2022</v>
      </c>
      <c r="B84" t="s">
        <v>19</v>
      </c>
      <c r="C84" t="s">
        <v>8</v>
      </c>
      <c r="D84">
        <v>3568</v>
      </c>
      <c r="E84">
        <v>47.47</v>
      </c>
      <c r="F84">
        <v>190.84</v>
      </c>
      <c r="G84" t="str">
        <f t="shared" si="1"/>
        <v>Keep</v>
      </c>
    </row>
    <row r="85" spans="1:7">
      <c r="A85">
        <v>2022</v>
      </c>
      <c r="B85" t="s">
        <v>19</v>
      </c>
      <c r="C85" t="s">
        <v>9</v>
      </c>
      <c r="D85">
        <v>6463</v>
      </c>
      <c r="E85">
        <v>11.57</v>
      </c>
      <c r="F85">
        <v>373.68</v>
      </c>
      <c r="G85" t="str">
        <f t="shared" si="1"/>
        <v>Keep</v>
      </c>
    </row>
    <row r="86" spans="1:7">
      <c r="A86">
        <v>2022</v>
      </c>
      <c r="B86" t="s">
        <v>19</v>
      </c>
      <c r="C86" t="s">
        <v>10</v>
      </c>
      <c r="D86">
        <v>3027</v>
      </c>
      <c r="E86">
        <v>26.72</v>
      </c>
      <c r="F86">
        <v>162.25</v>
      </c>
      <c r="G86" t="str">
        <f t="shared" si="1"/>
        <v>Keep</v>
      </c>
    </row>
    <row r="87" spans="1:7">
      <c r="A87">
        <v>2022</v>
      </c>
      <c r="B87" t="s">
        <v>19</v>
      </c>
      <c r="C87" t="s">
        <v>11</v>
      </c>
      <c r="D87">
        <v>3695</v>
      </c>
      <c r="E87">
        <v>48.7</v>
      </c>
      <c r="F87">
        <v>167.8</v>
      </c>
      <c r="G87" t="str">
        <f t="shared" si="1"/>
        <v>Keep</v>
      </c>
    </row>
    <row r="88" spans="1:7">
      <c r="A88">
        <v>2022</v>
      </c>
      <c r="B88" t="s">
        <v>19</v>
      </c>
      <c r="C88" t="s">
        <v>12</v>
      </c>
      <c r="D88">
        <v>6258</v>
      </c>
      <c r="E88">
        <v>31.92</v>
      </c>
      <c r="F88">
        <v>323.56</v>
      </c>
      <c r="G88" t="str">
        <f t="shared" si="1"/>
        <v>Keep</v>
      </c>
    </row>
    <row r="89" spans="1:7">
      <c r="A89">
        <v>2022</v>
      </c>
      <c r="B89" t="s">
        <v>19</v>
      </c>
      <c r="C89" t="s">
        <v>13</v>
      </c>
      <c r="D89">
        <v>6618</v>
      </c>
      <c r="E89">
        <v>26.94</v>
      </c>
      <c r="F89">
        <v>385.39</v>
      </c>
      <c r="G89" t="str">
        <f t="shared" si="1"/>
        <v>Keep</v>
      </c>
    </row>
    <row r="90" spans="1:7">
      <c r="A90">
        <v>2022</v>
      </c>
      <c r="B90" t="s">
        <v>19</v>
      </c>
      <c r="C90" t="s">
        <v>14</v>
      </c>
      <c r="D90">
        <v>7736</v>
      </c>
      <c r="E90">
        <v>32.74</v>
      </c>
      <c r="F90">
        <v>389.39</v>
      </c>
      <c r="G90" t="str">
        <f t="shared" si="1"/>
        <v>Keep</v>
      </c>
    </row>
    <row r="91" spans="1:7">
      <c r="A91">
        <v>2022</v>
      </c>
      <c r="B91" t="s">
        <v>19</v>
      </c>
      <c r="C91" t="s">
        <v>15</v>
      </c>
      <c r="D91">
        <v>1391</v>
      </c>
      <c r="E91">
        <v>33.04</v>
      </c>
      <c r="F91">
        <v>85.12</v>
      </c>
      <c r="G91" t="str">
        <f t="shared" si="1"/>
        <v>Keep</v>
      </c>
    </row>
    <row r="92" spans="1:7">
      <c r="A92">
        <v>2022</v>
      </c>
      <c r="B92" t="s">
        <v>19</v>
      </c>
      <c r="C92" t="s">
        <v>16</v>
      </c>
      <c r="D92">
        <v>6892</v>
      </c>
      <c r="E92">
        <v>39.27</v>
      </c>
      <c r="F92">
        <v>302.58</v>
      </c>
      <c r="G92" t="str">
        <f t="shared" si="1"/>
        <v>Keep</v>
      </c>
    </row>
    <row r="93" spans="1:7">
      <c r="A93">
        <v>2022</v>
      </c>
      <c r="B93" t="s">
        <v>19</v>
      </c>
      <c r="C93" t="s">
        <v>17</v>
      </c>
      <c r="D93">
        <v>4561</v>
      </c>
      <c r="E93">
        <v>15.11</v>
      </c>
      <c r="F93">
        <v>273.44</v>
      </c>
      <c r="G93" t="str">
        <f t="shared" si="1"/>
        <v>Keep</v>
      </c>
    </row>
    <row r="94" spans="1:7">
      <c r="A94">
        <v>2022</v>
      </c>
      <c r="B94" t="s">
        <v>20</v>
      </c>
      <c r="C94" t="s">
        <v>8</v>
      </c>
      <c r="D94">
        <v>7184</v>
      </c>
      <c r="E94">
        <v>20</v>
      </c>
      <c r="F94">
        <v>430.34</v>
      </c>
      <c r="G94" t="str">
        <f t="shared" si="1"/>
        <v>Keep</v>
      </c>
    </row>
    <row r="95" spans="1:7">
      <c r="A95">
        <v>2022</v>
      </c>
      <c r="B95" t="s">
        <v>20</v>
      </c>
      <c r="C95" t="s">
        <v>9</v>
      </c>
      <c r="D95">
        <v>4099</v>
      </c>
      <c r="E95">
        <v>33.22</v>
      </c>
      <c r="F95">
        <v>196.41</v>
      </c>
      <c r="G95" t="str">
        <f t="shared" si="1"/>
        <v>Keep</v>
      </c>
    </row>
    <row r="96" spans="1:7">
      <c r="A96">
        <v>2022</v>
      </c>
      <c r="B96" t="s">
        <v>20</v>
      </c>
      <c r="C96" t="s">
        <v>10</v>
      </c>
      <c r="D96">
        <v>7278</v>
      </c>
      <c r="E96">
        <v>44.68</v>
      </c>
      <c r="F96">
        <v>423.77</v>
      </c>
      <c r="G96" t="str">
        <f t="shared" si="1"/>
        <v>Keep</v>
      </c>
    </row>
    <row r="97" spans="1:7">
      <c r="A97">
        <v>2022</v>
      </c>
      <c r="B97" t="s">
        <v>20</v>
      </c>
      <c r="C97" t="s">
        <v>11</v>
      </c>
      <c r="D97">
        <v>9392</v>
      </c>
      <c r="E97">
        <v>32.47</v>
      </c>
      <c r="F97">
        <v>484.28</v>
      </c>
      <c r="G97" t="str">
        <f t="shared" si="1"/>
        <v>Keep</v>
      </c>
    </row>
    <row r="98" spans="1:7">
      <c r="A98">
        <v>2022</v>
      </c>
      <c r="B98" t="s">
        <v>20</v>
      </c>
      <c r="C98" t="s">
        <v>12</v>
      </c>
      <c r="D98">
        <v>4104</v>
      </c>
      <c r="E98">
        <v>19.54</v>
      </c>
      <c r="F98">
        <v>180.29</v>
      </c>
      <c r="G98" t="str">
        <f t="shared" si="1"/>
        <v>Keep</v>
      </c>
    </row>
    <row r="99" spans="1:7">
      <c r="A99">
        <v>2022</v>
      </c>
      <c r="B99" t="s">
        <v>20</v>
      </c>
      <c r="C99" t="s">
        <v>13</v>
      </c>
      <c r="D99">
        <v>8215</v>
      </c>
      <c r="E99">
        <v>37.19</v>
      </c>
      <c r="F99">
        <v>408.41</v>
      </c>
      <c r="G99" t="str">
        <f t="shared" si="1"/>
        <v>Keep</v>
      </c>
    </row>
    <row r="100" spans="1:7">
      <c r="A100">
        <v>2022</v>
      </c>
      <c r="B100" t="s">
        <v>20</v>
      </c>
      <c r="C100" t="s">
        <v>14</v>
      </c>
      <c r="D100">
        <v>3454</v>
      </c>
      <c r="E100">
        <v>39.6</v>
      </c>
      <c r="F100">
        <v>201.79</v>
      </c>
      <c r="G100" t="str">
        <f t="shared" si="1"/>
        <v>Keep</v>
      </c>
    </row>
    <row r="101" spans="1:7">
      <c r="A101">
        <v>2022</v>
      </c>
      <c r="B101" t="s">
        <v>20</v>
      </c>
      <c r="C101" t="s">
        <v>15</v>
      </c>
      <c r="D101">
        <v>9996</v>
      </c>
      <c r="E101">
        <v>19.53</v>
      </c>
      <c r="F101">
        <v>566.35</v>
      </c>
      <c r="G101" t="str">
        <f t="shared" si="1"/>
        <v>Keep</v>
      </c>
    </row>
    <row r="102" spans="1:7">
      <c r="A102">
        <v>2022</v>
      </c>
      <c r="B102" t="s">
        <v>20</v>
      </c>
      <c r="C102" t="s">
        <v>16</v>
      </c>
      <c r="D102">
        <v>3731</v>
      </c>
      <c r="E102">
        <v>25.11</v>
      </c>
      <c r="F102">
        <v>220.78</v>
      </c>
      <c r="G102" t="str">
        <f t="shared" si="1"/>
        <v>Keep</v>
      </c>
    </row>
    <row r="103" spans="1:7">
      <c r="A103">
        <v>2022</v>
      </c>
      <c r="B103" t="s">
        <v>20</v>
      </c>
      <c r="C103" t="s">
        <v>17</v>
      </c>
      <c r="D103">
        <v>9154</v>
      </c>
      <c r="E103">
        <v>31.37</v>
      </c>
      <c r="F103">
        <v>501.4</v>
      </c>
      <c r="G103" t="str">
        <f t="shared" si="1"/>
        <v>Keep</v>
      </c>
    </row>
    <row r="104" spans="1:7">
      <c r="A104">
        <v>2022</v>
      </c>
      <c r="B104" t="s">
        <v>20</v>
      </c>
      <c r="C104" t="s">
        <v>8</v>
      </c>
      <c r="D104">
        <v>6056</v>
      </c>
      <c r="E104">
        <v>29.86</v>
      </c>
      <c r="F104">
        <v>293.41</v>
      </c>
      <c r="G104" t="str">
        <f t="shared" si="1"/>
        <v>Keep</v>
      </c>
    </row>
    <row r="105" spans="1:7">
      <c r="A105">
        <v>2022</v>
      </c>
      <c r="B105" t="s">
        <v>20</v>
      </c>
      <c r="C105" t="s">
        <v>9</v>
      </c>
      <c r="D105">
        <v>9110</v>
      </c>
      <c r="E105">
        <v>25.58</v>
      </c>
      <c r="F105">
        <v>461.19</v>
      </c>
      <c r="G105" t="str">
        <f t="shared" si="1"/>
        <v>Keep</v>
      </c>
    </row>
    <row r="106" spans="1:7">
      <c r="A106">
        <v>2022</v>
      </c>
      <c r="B106" t="s">
        <v>20</v>
      </c>
      <c r="C106" t="s">
        <v>10</v>
      </c>
      <c r="D106">
        <v>4840</v>
      </c>
      <c r="E106">
        <v>21.91</v>
      </c>
      <c r="F106">
        <v>232.12</v>
      </c>
      <c r="G106" t="str">
        <f t="shared" si="1"/>
        <v>Keep</v>
      </c>
    </row>
    <row r="107" spans="1:7">
      <c r="A107">
        <v>2022</v>
      </c>
      <c r="B107" t="s">
        <v>20</v>
      </c>
      <c r="C107" t="s">
        <v>11</v>
      </c>
      <c r="D107">
        <v>2028</v>
      </c>
      <c r="E107">
        <v>14</v>
      </c>
      <c r="F107">
        <v>122.5</v>
      </c>
      <c r="G107" t="str">
        <f t="shared" si="1"/>
        <v>Keep</v>
      </c>
    </row>
    <row r="108" spans="1:7">
      <c r="A108">
        <v>2022</v>
      </c>
      <c r="B108" t="s">
        <v>20</v>
      </c>
      <c r="C108" t="s">
        <v>12</v>
      </c>
      <c r="D108">
        <v>8385</v>
      </c>
      <c r="E108">
        <v>12.14</v>
      </c>
      <c r="F108">
        <v>469.92</v>
      </c>
      <c r="G108" t="str">
        <f t="shared" si="1"/>
        <v>Keep</v>
      </c>
    </row>
    <row r="109" spans="1:7">
      <c r="A109">
        <v>2022</v>
      </c>
      <c r="B109" t="s">
        <v>20</v>
      </c>
      <c r="C109" t="s">
        <v>13</v>
      </c>
      <c r="D109">
        <v>1502</v>
      </c>
      <c r="E109">
        <v>48.34</v>
      </c>
      <c r="F109">
        <v>71.34</v>
      </c>
      <c r="G109" t="str">
        <f t="shared" si="1"/>
        <v>Keep</v>
      </c>
    </row>
    <row r="110" spans="1:7">
      <c r="A110">
        <v>2022</v>
      </c>
      <c r="B110" t="s">
        <v>20</v>
      </c>
      <c r="C110" t="s">
        <v>14</v>
      </c>
      <c r="D110">
        <v>7910</v>
      </c>
      <c r="E110">
        <v>43.89</v>
      </c>
      <c r="F110">
        <v>410.19</v>
      </c>
      <c r="G110" t="str">
        <f t="shared" si="1"/>
        <v>Keep</v>
      </c>
    </row>
    <row r="111" spans="1:7">
      <c r="A111">
        <v>2022</v>
      </c>
      <c r="B111" t="s">
        <v>20</v>
      </c>
      <c r="C111" t="s">
        <v>15</v>
      </c>
      <c r="D111">
        <v>7938</v>
      </c>
      <c r="E111">
        <v>24.2</v>
      </c>
      <c r="F111">
        <v>399.13</v>
      </c>
      <c r="G111" t="str">
        <f t="shared" si="1"/>
        <v>Keep</v>
      </c>
    </row>
    <row r="112" spans="1:7">
      <c r="A112">
        <v>2022</v>
      </c>
      <c r="B112" t="s">
        <v>20</v>
      </c>
      <c r="C112" t="s">
        <v>16</v>
      </c>
      <c r="D112">
        <v>5488</v>
      </c>
      <c r="E112">
        <v>48.27</v>
      </c>
      <c r="F112">
        <v>248.96</v>
      </c>
      <c r="G112" t="str">
        <f t="shared" si="1"/>
        <v>Keep</v>
      </c>
    </row>
    <row r="113" spans="1:7">
      <c r="A113">
        <v>2022</v>
      </c>
      <c r="B113" t="s">
        <v>20</v>
      </c>
      <c r="C113" t="s">
        <v>17</v>
      </c>
      <c r="D113">
        <v>1206</v>
      </c>
      <c r="E113">
        <v>37.07</v>
      </c>
      <c r="F113">
        <v>69.91</v>
      </c>
      <c r="G113" t="str">
        <f t="shared" si="1"/>
        <v>Keep</v>
      </c>
    </row>
    <row r="114" spans="1:7">
      <c r="A114">
        <v>2022</v>
      </c>
      <c r="B114" t="s">
        <v>20</v>
      </c>
      <c r="C114" t="s">
        <v>8</v>
      </c>
      <c r="D114">
        <v>6134</v>
      </c>
      <c r="E114">
        <v>29.3</v>
      </c>
      <c r="F114">
        <v>309.49</v>
      </c>
      <c r="G114" t="str">
        <f t="shared" si="1"/>
        <v>Keep</v>
      </c>
    </row>
    <row r="115" spans="1:7">
      <c r="A115">
        <v>2022</v>
      </c>
      <c r="B115" t="s">
        <v>20</v>
      </c>
      <c r="C115" t="s">
        <v>9</v>
      </c>
      <c r="D115">
        <v>6977</v>
      </c>
      <c r="E115">
        <v>29.72</v>
      </c>
      <c r="F115">
        <v>389.22</v>
      </c>
      <c r="G115" t="str">
        <f t="shared" si="1"/>
        <v>Keep</v>
      </c>
    </row>
    <row r="116" spans="1:7">
      <c r="A116">
        <v>2022</v>
      </c>
      <c r="B116" t="s">
        <v>20</v>
      </c>
      <c r="C116" t="s">
        <v>10</v>
      </c>
      <c r="D116">
        <v>8721</v>
      </c>
      <c r="E116">
        <v>13.33</v>
      </c>
      <c r="F116">
        <v>457.5</v>
      </c>
      <c r="G116" t="str">
        <f t="shared" si="1"/>
        <v>Keep</v>
      </c>
    </row>
    <row r="117" spans="1:7">
      <c r="A117">
        <v>2022</v>
      </c>
      <c r="B117" t="s">
        <v>20</v>
      </c>
      <c r="C117" t="s">
        <v>11</v>
      </c>
      <c r="D117">
        <v>8035</v>
      </c>
      <c r="E117">
        <v>13.67</v>
      </c>
      <c r="F117">
        <v>425.44</v>
      </c>
      <c r="G117" t="str">
        <f t="shared" si="1"/>
        <v>Keep</v>
      </c>
    </row>
    <row r="118" spans="1:7">
      <c r="A118">
        <v>2022</v>
      </c>
      <c r="B118" t="s">
        <v>20</v>
      </c>
      <c r="C118" t="s">
        <v>12</v>
      </c>
      <c r="D118">
        <v>2484</v>
      </c>
      <c r="E118">
        <v>34.1</v>
      </c>
      <c r="F118">
        <v>141.66</v>
      </c>
      <c r="G118" t="str">
        <f t="shared" si="1"/>
        <v>Keep</v>
      </c>
    </row>
    <row r="119" spans="1:7">
      <c r="A119">
        <v>2022</v>
      </c>
      <c r="B119" t="s">
        <v>20</v>
      </c>
      <c r="C119" t="s">
        <v>13</v>
      </c>
      <c r="D119">
        <v>8858</v>
      </c>
      <c r="E119">
        <v>32.15</v>
      </c>
      <c r="F119">
        <v>446.54</v>
      </c>
      <c r="G119" t="str">
        <f t="shared" si="1"/>
        <v>Keep</v>
      </c>
    </row>
    <row r="120" spans="1:7">
      <c r="A120">
        <v>2022</v>
      </c>
      <c r="B120" t="s">
        <v>20</v>
      </c>
      <c r="C120" t="s">
        <v>14</v>
      </c>
      <c r="D120">
        <v>1863</v>
      </c>
      <c r="E120">
        <v>18.51</v>
      </c>
      <c r="F120">
        <v>96.24</v>
      </c>
      <c r="G120" t="str">
        <f t="shared" si="1"/>
        <v>Keep</v>
      </c>
    </row>
    <row r="121" spans="1:7">
      <c r="A121">
        <v>2022</v>
      </c>
      <c r="B121" t="s">
        <v>20</v>
      </c>
      <c r="C121" t="s">
        <v>15</v>
      </c>
      <c r="D121">
        <v>3790</v>
      </c>
      <c r="E121">
        <v>47.85</v>
      </c>
      <c r="F121">
        <v>160.1</v>
      </c>
      <c r="G121" t="str">
        <f t="shared" si="1"/>
        <v>Keep</v>
      </c>
    </row>
    <row r="122" spans="1:7">
      <c r="A122">
        <v>2022</v>
      </c>
      <c r="B122" t="s">
        <v>20</v>
      </c>
      <c r="C122" t="s">
        <v>16</v>
      </c>
      <c r="D122">
        <v>8408</v>
      </c>
      <c r="E122">
        <v>41.25</v>
      </c>
      <c r="F122">
        <v>431.65</v>
      </c>
      <c r="G122" t="str">
        <f t="shared" si="1"/>
        <v>Keep</v>
      </c>
    </row>
    <row r="123" spans="1:7">
      <c r="A123">
        <v>2022</v>
      </c>
      <c r="B123" t="s">
        <v>20</v>
      </c>
      <c r="C123" t="s">
        <v>17</v>
      </c>
      <c r="D123">
        <v>9755</v>
      </c>
      <c r="E123">
        <v>14.54</v>
      </c>
      <c r="F123">
        <v>493.13</v>
      </c>
      <c r="G123" t="str">
        <f t="shared" si="1"/>
        <v>Keep</v>
      </c>
    </row>
    <row r="124" spans="1:7">
      <c r="A124">
        <v>2022</v>
      </c>
      <c r="B124" t="s">
        <v>21</v>
      </c>
      <c r="C124" t="s">
        <v>8</v>
      </c>
      <c r="D124">
        <v>6116</v>
      </c>
      <c r="E124">
        <v>47.24</v>
      </c>
      <c r="F124">
        <v>327.06</v>
      </c>
      <c r="G124" t="str">
        <f t="shared" si="1"/>
        <v>Keep</v>
      </c>
    </row>
    <row r="125" spans="1:7">
      <c r="A125">
        <v>2022</v>
      </c>
      <c r="B125" t="s">
        <v>21</v>
      </c>
      <c r="C125" t="s">
        <v>9</v>
      </c>
      <c r="D125">
        <v>7019</v>
      </c>
      <c r="E125">
        <v>48.97</v>
      </c>
      <c r="F125">
        <v>328.38</v>
      </c>
      <c r="G125" t="str">
        <f t="shared" si="1"/>
        <v>Keep</v>
      </c>
    </row>
    <row r="126" spans="1:7">
      <c r="A126">
        <v>2022</v>
      </c>
      <c r="B126" t="s">
        <v>21</v>
      </c>
      <c r="C126" t="s">
        <v>10</v>
      </c>
      <c r="D126">
        <v>2757</v>
      </c>
      <c r="E126">
        <v>49.84</v>
      </c>
      <c r="F126">
        <v>140.37</v>
      </c>
      <c r="G126" t="str">
        <f t="shared" si="1"/>
        <v>Keep</v>
      </c>
    </row>
    <row r="127" spans="1:7">
      <c r="A127">
        <v>2022</v>
      </c>
      <c r="B127" t="s">
        <v>21</v>
      </c>
      <c r="C127" t="s">
        <v>11</v>
      </c>
      <c r="D127">
        <v>8574</v>
      </c>
      <c r="E127">
        <v>12.23</v>
      </c>
      <c r="F127">
        <v>451.41</v>
      </c>
      <c r="G127" t="str">
        <f t="shared" si="1"/>
        <v>Keep</v>
      </c>
    </row>
    <row r="128" spans="1:7">
      <c r="A128">
        <v>2022</v>
      </c>
      <c r="B128" t="s">
        <v>21</v>
      </c>
      <c r="C128" t="s">
        <v>12</v>
      </c>
      <c r="D128">
        <v>7374</v>
      </c>
      <c r="E128">
        <v>39.48</v>
      </c>
      <c r="F128">
        <v>353.02</v>
      </c>
      <c r="G128" t="str">
        <f t="shared" si="1"/>
        <v>Keep</v>
      </c>
    </row>
    <row r="129" spans="1:7">
      <c r="A129">
        <v>2022</v>
      </c>
      <c r="B129" t="s">
        <v>21</v>
      </c>
      <c r="C129" t="s">
        <v>13</v>
      </c>
      <c r="D129">
        <v>7892</v>
      </c>
      <c r="E129">
        <v>31.84</v>
      </c>
      <c r="F129">
        <v>411.32</v>
      </c>
      <c r="G129" t="str">
        <f t="shared" si="1"/>
        <v>Keep</v>
      </c>
    </row>
    <row r="130" spans="1:7">
      <c r="A130">
        <v>2022</v>
      </c>
      <c r="B130" t="s">
        <v>21</v>
      </c>
      <c r="C130" t="s">
        <v>14</v>
      </c>
      <c r="D130">
        <v>2678</v>
      </c>
      <c r="E130">
        <v>38.23</v>
      </c>
      <c r="F130">
        <v>159.06</v>
      </c>
      <c r="G130" t="str">
        <f t="shared" si="1"/>
        <v>Keep</v>
      </c>
    </row>
    <row r="131" spans="1:7">
      <c r="A131">
        <v>2022</v>
      </c>
      <c r="B131" t="s">
        <v>21</v>
      </c>
      <c r="C131" t="s">
        <v>15</v>
      </c>
      <c r="D131">
        <v>4242</v>
      </c>
      <c r="E131">
        <v>48.75</v>
      </c>
      <c r="F131">
        <v>198.66</v>
      </c>
      <c r="G131" t="str">
        <f t="shared" si="1"/>
        <v>Keep</v>
      </c>
    </row>
    <row r="132" spans="1:7">
      <c r="A132">
        <v>2022</v>
      </c>
      <c r="B132" t="s">
        <v>21</v>
      </c>
      <c r="C132" t="s">
        <v>16</v>
      </c>
      <c r="D132">
        <v>5636</v>
      </c>
      <c r="E132">
        <v>37.52</v>
      </c>
      <c r="F132">
        <v>285.47</v>
      </c>
      <c r="G132" t="str">
        <f t="shared" si="1"/>
        <v>Keep</v>
      </c>
    </row>
    <row r="133" spans="1:7">
      <c r="A133">
        <v>2022</v>
      </c>
      <c r="B133" t="s">
        <v>21</v>
      </c>
      <c r="C133" t="s">
        <v>17</v>
      </c>
      <c r="D133">
        <v>2059</v>
      </c>
      <c r="E133">
        <v>43.48</v>
      </c>
      <c r="F133">
        <v>116.92</v>
      </c>
      <c r="G133" t="str">
        <f t="shared" ref="G133:G196" si="2">IF(OR(F133&lt;=$J$7,F133&gt;=$J$8),"Outlier","Keep")</f>
        <v>Keep</v>
      </c>
    </row>
    <row r="134" spans="1:7">
      <c r="A134">
        <v>2022</v>
      </c>
      <c r="B134" t="s">
        <v>21</v>
      </c>
      <c r="C134" t="s">
        <v>8</v>
      </c>
      <c r="D134">
        <v>7668</v>
      </c>
      <c r="E134">
        <v>44.67</v>
      </c>
      <c r="F134">
        <v>396.6</v>
      </c>
      <c r="G134" t="str">
        <f t="shared" si="2"/>
        <v>Keep</v>
      </c>
    </row>
    <row r="135" spans="1:7">
      <c r="A135">
        <v>2022</v>
      </c>
      <c r="B135" t="s">
        <v>21</v>
      </c>
      <c r="C135" t="s">
        <v>9</v>
      </c>
      <c r="D135">
        <v>4157</v>
      </c>
      <c r="E135">
        <v>43.54</v>
      </c>
      <c r="F135">
        <v>204.83</v>
      </c>
      <c r="G135" t="str">
        <f t="shared" si="2"/>
        <v>Keep</v>
      </c>
    </row>
    <row r="136" spans="1:7">
      <c r="A136">
        <v>2022</v>
      </c>
      <c r="B136" t="s">
        <v>21</v>
      </c>
      <c r="C136" t="s">
        <v>10</v>
      </c>
      <c r="D136">
        <v>6915</v>
      </c>
      <c r="E136">
        <v>27.04</v>
      </c>
      <c r="F136">
        <v>354.43</v>
      </c>
      <c r="G136" t="str">
        <f t="shared" si="2"/>
        <v>Keep</v>
      </c>
    </row>
    <row r="137" spans="1:7">
      <c r="A137">
        <v>2022</v>
      </c>
      <c r="B137" t="s">
        <v>21</v>
      </c>
      <c r="C137" t="s">
        <v>11</v>
      </c>
      <c r="D137">
        <v>3693</v>
      </c>
      <c r="E137">
        <v>18.9</v>
      </c>
      <c r="F137">
        <v>213.62</v>
      </c>
      <c r="G137" t="str">
        <f t="shared" si="2"/>
        <v>Keep</v>
      </c>
    </row>
    <row r="138" spans="1:7">
      <c r="A138">
        <v>2022</v>
      </c>
      <c r="B138" t="s">
        <v>21</v>
      </c>
      <c r="C138" t="s">
        <v>12</v>
      </c>
      <c r="D138">
        <v>4627</v>
      </c>
      <c r="E138">
        <v>25.87</v>
      </c>
      <c r="F138">
        <v>246.49</v>
      </c>
      <c r="G138" t="str">
        <f t="shared" si="2"/>
        <v>Keep</v>
      </c>
    </row>
    <row r="139" spans="1:7">
      <c r="A139">
        <v>2022</v>
      </c>
      <c r="B139" t="s">
        <v>21</v>
      </c>
      <c r="C139" t="s">
        <v>13</v>
      </c>
      <c r="D139">
        <v>6450</v>
      </c>
      <c r="E139">
        <v>45.68</v>
      </c>
      <c r="F139">
        <v>323.95</v>
      </c>
      <c r="G139" t="str">
        <f t="shared" si="2"/>
        <v>Keep</v>
      </c>
    </row>
    <row r="140" spans="1:7">
      <c r="A140">
        <v>2022</v>
      </c>
      <c r="B140" t="s">
        <v>21</v>
      </c>
      <c r="C140" t="s">
        <v>14</v>
      </c>
      <c r="D140">
        <v>2663</v>
      </c>
      <c r="E140">
        <v>15.86</v>
      </c>
      <c r="F140">
        <v>140.23</v>
      </c>
      <c r="G140" t="str">
        <f t="shared" si="2"/>
        <v>Keep</v>
      </c>
    </row>
    <row r="141" spans="1:7">
      <c r="A141">
        <v>2022</v>
      </c>
      <c r="B141" t="s">
        <v>21</v>
      </c>
      <c r="C141" t="s">
        <v>15</v>
      </c>
      <c r="D141">
        <v>6592</v>
      </c>
      <c r="E141">
        <v>30.53</v>
      </c>
      <c r="F141">
        <v>348.5</v>
      </c>
      <c r="G141" t="str">
        <f t="shared" si="2"/>
        <v>Keep</v>
      </c>
    </row>
    <row r="142" spans="1:7">
      <c r="A142">
        <v>2022</v>
      </c>
      <c r="B142" t="s">
        <v>21</v>
      </c>
      <c r="C142" t="s">
        <v>16</v>
      </c>
      <c r="D142">
        <v>8392</v>
      </c>
      <c r="E142">
        <v>19.33</v>
      </c>
      <c r="F142">
        <v>432.04</v>
      </c>
      <c r="G142" t="str">
        <f t="shared" si="2"/>
        <v>Keep</v>
      </c>
    </row>
    <row r="143" spans="1:7">
      <c r="A143">
        <v>2022</v>
      </c>
      <c r="B143" t="s">
        <v>21</v>
      </c>
      <c r="C143" t="s">
        <v>17</v>
      </c>
      <c r="D143">
        <v>2306</v>
      </c>
      <c r="E143">
        <v>33.25</v>
      </c>
      <c r="F143">
        <v>143.52</v>
      </c>
      <c r="G143" t="str">
        <f t="shared" si="2"/>
        <v>Keep</v>
      </c>
    </row>
    <row r="144" spans="1:7">
      <c r="A144">
        <v>2022</v>
      </c>
      <c r="B144" t="s">
        <v>21</v>
      </c>
      <c r="C144" t="s">
        <v>8</v>
      </c>
      <c r="D144">
        <v>7776</v>
      </c>
      <c r="E144">
        <v>44.53</v>
      </c>
      <c r="F144">
        <v>371.92</v>
      </c>
      <c r="G144" t="str">
        <f t="shared" si="2"/>
        <v>Keep</v>
      </c>
    </row>
    <row r="145" spans="1:7">
      <c r="A145">
        <v>2022</v>
      </c>
      <c r="B145" t="s">
        <v>21</v>
      </c>
      <c r="C145" t="s">
        <v>9</v>
      </c>
      <c r="D145">
        <v>6864</v>
      </c>
      <c r="E145">
        <v>45.21</v>
      </c>
      <c r="F145">
        <v>325.84</v>
      </c>
      <c r="G145" t="str">
        <f t="shared" si="2"/>
        <v>Keep</v>
      </c>
    </row>
    <row r="146" spans="1:7">
      <c r="A146">
        <v>2022</v>
      </c>
      <c r="B146" t="s">
        <v>21</v>
      </c>
      <c r="C146" t="s">
        <v>10</v>
      </c>
      <c r="D146">
        <v>8526</v>
      </c>
      <c r="E146">
        <v>19.47</v>
      </c>
      <c r="F146">
        <v>461.85</v>
      </c>
      <c r="G146" t="str">
        <f t="shared" si="2"/>
        <v>Keep</v>
      </c>
    </row>
    <row r="147" spans="1:7">
      <c r="A147">
        <v>2022</v>
      </c>
      <c r="B147" t="s">
        <v>21</v>
      </c>
      <c r="C147" t="s">
        <v>11</v>
      </c>
      <c r="D147">
        <v>9901</v>
      </c>
      <c r="E147">
        <v>46.31</v>
      </c>
      <c r="F147">
        <v>489.76</v>
      </c>
      <c r="G147" t="str">
        <f t="shared" si="2"/>
        <v>Keep</v>
      </c>
    </row>
    <row r="148" spans="1:7">
      <c r="A148">
        <v>2022</v>
      </c>
      <c r="B148" t="s">
        <v>21</v>
      </c>
      <c r="C148" t="s">
        <v>12</v>
      </c>
      <c r="D148">
        <v>6575</v>
      </c>
      <c r="E148">
        <v>33.68</v>
      </c>
      <c r="F148">
        <v>383.87</v>
      </c>
      <c r="G148" t="str">
        <f t="shared" si="2"/>
        <v>Keep</v>
      </c>
    </row>
    <row r="149" spans="1:7">
      <c r="A149">
        <v>2022</v>
      </c>
      <c r="B149" t="s">
        <v>21</v>
      </c>
      <c r="C149" t="s">
        <v>13</v>
      </c>
      <c r="D149">
        <v>6530</v>
      </c>
      <c r="E149">
        <v>24.01</v>
      </c>
      <c r="F149">
        <v>315.1</v>
      </c>
      <c r="G149" t="str">
        <f t="shared" si="2"/>
        <v>Keep</v>
      </c>
    </row>
    <row r="150" spans="1:7">
      <c r="A150">
        <v>2022</v>
      </c>
      <c r="B150" t="s">
        <v>21</v>
      </c>
      <c r="C150" t="s">
        <v>14</v>
      </c>
      <c r="D150">
        <v>5413</v>
      </c>
      <c r="E150">
        <v>38.33</v>
      </c>
      <c r="F150">
        <v>276.85</v>
      </c>
      <c r="G150" t="str">
        <f t="shared" si="2"/>
        <v>Keep</v>
      </c>
    </row>
    <row r="151" spans="1:7">
      <c r="A151">
        <v>2022</v>
      </c>
      <c r="B151" t="s">
        <v>21</v>
      </c>
      <c r="C151" t="s">
        <v>15</v>
      </c>
      <c r="D151">
        <v>4748</v>
      </c>
      <c r="E151">
        <v>29.27</v>
      </c>
      <c r="F151">
        <v>274.87</v>
      </c>
      <c r="G151" t="str">
        <f t="shared" si="2"/>
        <v>Keep</v>
      </c>
    </row>
    <row r="152" spans="1:7">
      <c r="A152">
        <v>2022</v>
      </c>
      <c r="B152" t="s">
        <v>21</v>
      </c>
      <c r="C152" t="s">
        <v>16</v>
      </c>
      <c r="D152">
        <v>1663</v>
      </c>
      <c r="E152">
        <v>25.12</v>
      </c>
      <c r="F152">
        <v>91.44</v>
      </c>
      <c r="G152" t="str">
        <f t="shared" si="2"/>
        <v>Keep</v>
      </c>
    </row>
    <row r="153" spans="1:7">
      <c r="A153">
        <v>2022</v>
      </c>
      <c r="B153" t="s">
        <v>21</v>
      </c>
      <c r="C153" t="s">
        <v>17</v>
      </c>
      <c r="D153">
        <v>2998</v>
      </c>
      <c r="E153">
        <v>38.2</v>
      </c>
      <c r="F153">
        <v>135.84</v>
      </c>
      <c r="G153" t="str">
        <f t="shared" si="2"/>
        <v>Keep</v>
      </c>
    </row>
    <row r="154" spans="1:7">
      <c r="A154">
        <v>2022</v>
      </c>
      <c r="B154" t="s">
        <v>21</v>
      </c>
      <c r="C154" t="s">
        <v>8</v>
      </c>
      <c r="D154">
        <v>8994</v>
      </c>
      <c r="E154">
        <v>19.95</v>
      </c>
      <c r="F154">
        <v>458.34</v>
      </c>
      <c r="G154" t="str">
        <f t="shared" si="2"/>
        <v>Keep</v>
      </c>
    </row>
    <row r="155" spans="1:7">
      <c r="A155">
        <v>2022</v>
      </c>
      <c r="B155" t="s">
        <v>22</v>
      </c>
      <c r="C155" t="s">
        <v>9</v>
      </c>
      <c r="D155">
        <v>2495</v>
      </c>
      <c r="E155">
        <v>23.21</v>
      </c>
      <c r="F155">
        <v>114.66</v>
      </c>
      <c r="G155" t="str">
        <f t="shared" si="2"/>
        <v>Keep</v>
      </c>
    </row>
    <row r="156" spans="1:7">
      <c r="A156">
        <v>2022</v>
      </c>
      <c r="B156" t="s">
        <v>22</v>
      </c>
      <c r="C156" t="s">
        <v>10</v>
      </c>
      <c r="D156">
        <v>4304</v>
      </c>
      <c r="E156">
        <v>27.38</v>
      </c>
      <c r="F156">
        <v>259.34</v>
      </c>
      <c r="G156" t="str">
        <f t="shared" si="2"/>
        <v>Keep</v>
      </c>
    </row>
    <row r="157" spans="1:7">
      <c r="A157">
        <v>2022</v>
      </c>
      <c r="B157" t="s">
        <v>22</v>
      </c>
      <c r="C157" t="s">
        <v>11</v>
      </c>
      <c r="D157">
        <v>4763</v>
      </c>
      <c r="E157">
        <v>20.15</v>
      </c>
      <c r="F157">
        <v>257.38</v>
      </c>
      <c r="G157" t="str">
        <f t="shared" si="2"/>
        <v>Keep</v>
      </c>
    </row>
    <row r="158" spans="1:7">
      <c r="A158">
        <v>2022</v>
      </c>
      <c r="B158" t="s">
        <v>22</v>
      </c>
      <c r="C158" t="s">
        <v>12</v>
      </c>
      <c r="D158">
        <v>6232</v>
      </c>
      <c r="E158">
        <v>26.21</v>
      </c>
      <c r="F158">
        <v>321.19</v>
      </c>
      <c r="G158" t="str">
        <f t="shared" si="2"/>
        <v>Keep</v>
      </c>
    </row>
    <row r="159" spans="1:7">
      <c r="A159">
        <v>2022</v>
      </c>
      <c r="B159" t="s">
        <v>22</v>
      </c>
      <c r="C159" t="s">
        <v>13</v>
      </c>
      <c r="D159">
        <v>2853</v>
      </c>
      <c r="E159">
        <v>32.86</v>
      </c>
      <c r="F159">
        <v>110.74</v>
      </c>
      <c r="G159" t="str">
        <f t="shared" si="2"/>
        <v>Keep</v>
      </c>
    </row>
    <row r="160" spans="1:7">
      <c r="A160">
        <v>2022</v>
      </c>
      <c r="B160" t="s">
        <v>22</v>
      </c>
      <c r="C160" t="s">
        <v>14</v>
      </c>
      <c r="D160">
        <v>7585</v>
      </c>
      <c r="E160">
        <v>39.64</v>
      </c>
      <c r="F160">
        <v>353.01</v>
      </c>
      <c r="G160" t="str">
        <f t="shared" si="2"/>
        <v>Keep</v>
      </c>
    </row>
    <row r="161" spans="1:7">
      <c r="A161">
        <v>2022</v>
      </c>
      <c r="B161" t="s">
        <v>22</v>
      </c>
      <c r="C161" t="s">
        <v>15</v>
      </c>
      <c r="D161">
        <v>2291</v>
      </c>
      <c r="E161">
        <v>40.69</v>
      </c>
      <c r="F161">
        <v>145.03</v>
      </c>
      <c r="G161" t="str">
        <f t="shared" si="2"/>
        <v>Keep</v>
      </c>
    </row>
    <row r="162" spans="1:7">
      <c r="A162">
        <v>2022</v>
      </c>
      <c r="B162" t="s">
        <v>22</v>
      </c>
      <c r="C162" t="s">
        <v>16</v>
      </c>
      <c r="D162">
        <v>4581</v>
      </c>
      <c r="E162">
        <v>42.91</v>
      </c>
      <c r="F162">
        <v>233.62</v>
      </c>
      <c r="G162" t="str">
        <f t="shared" si="2"/>
        <v>Keep</v>
      </c>
    </row>
    <row r="163" spans="1:7">
      <c r="A163">
        <v>2022</v>
      </c>
      <c r="B163" t="s">
        <v>22</v>
      </c>
      <c r="C163" t="s">
        <v>17</v>
      </c>
      <c r="D163">
        <v>8554</v>
      </c>
      <c r="E163">
        <v>39.77</v>
      </c>
      <c r="F163">
        <v>453.31</v>
      </c>
      <c r="G163" t="str">
        <f t="shared" si="2"/>
        <v>Keep</v>
      </c>
    </row>
    <row r="164" spans="1:7">
      <c r="A164">
        <v>2022</v>
      </c>
      <c r="B164" t="s">
        <v>22</v>
      </c>
      <c r="C164" t="s">
        <v>8</v>
      </c>
      <c r="D164">
        <v>8280</v>
      </c>
      <c r="E164">
        <v>37.24</v>
      </c>
      <c r="F164">
        <v>440.11</v>
      </c>
      <c r="G164" t="str">
        <f t="shared" si="2"/>
        <v>Keep</v>
      </c>
    </row>
    <row r="165" spans="1:7">
      <c r="A165">
        <v>2022</v>
      </c>
      <c r="B165" t="s">
        <v>22</v>
      </c>
      <c r="C165" t="s">
        <v>9</v>
      </c>
      <c r="D165">
        <v>2636</v>
      </c>
      <c r="E165">
        <v>19.5</v>
      </c>
      <c r="F165">
        <v>138.39</v>
      </c>
      <c r="G165" t="str">
        <f t="shared" si="2"/>
        <v>Keep</v>
      </c>
    </row>
    <row r="166" spans="1:7">
      <c r="A166">
        <v>2022</v>
      </c>
      <c r="B166" t="s">
        <v>22</v>
      </c>
      <c r="C166" t="s">
        <v>10</v>
      </c>
      <c r="D166">
        <v>4696</v>
      </c>
      <c r="E166">
        <v>26.01</v>
      </c>
      <c r="F166">
        <v>302.19</v>
      </c>
      <c r="G166" t="str">
        <f t="shared" si="2"/>
        <v>Keep</v>
      </c>
    </row>
    <row r="167" spans="1:7">
      <c r="A167">
        <v>2022</v>
      </c>
      <c r="B167" t="s">
        <v>22</v>
      </c>
      <c r="C167" t="s">
        <v>11</v>
      </c>
      <c r="D167">
        <v>1698</v>
      </c>
      <c r="E167">
        <v>29.11</v>
      </c>
      <c r="F167">
        <v>138.96</v>
      </c>
      <c r="G167" t="str">
        <f t="shared" si="2"/>
        <v>Keep</v>
      </c>
    </row>
    <row r="168" spans="1:7">
      <c r="A168">
        <v>2022</v>
      </c>
      <c r="B168" t="s">
        <v>22</v>
      </c>
      <c r="C168" t="s">
        <v>12</v>
      </c>
      <c r="D168">
        <v>5737</v>
      </c>
      <c r="E168">
        <v>13.32</v>
      </c>
      <c r="F168">
        <v>309.6</v>
      </c>
      <c r="G168" t="str">
        <f t="shared" si="2"/>
        <v>Keep</v>
      </c>
    </row>
    <row r="169" spans="1:7">
      <c r="A169">
        <v>2022</v>
      </c>
      <c r="B169" t="s">
        <v>22</v>
      </c>
      <c r="C169" t="s">
        <v>13</v>
      </c>
      <c r="D169">
        <v>1854</v>
      </c>
      <c r="E169">
        <v>31.13</v>
      </c>
      <c r="F169">
        <v>33.97</v>
      </c>
      <c r="G169" t="str">
        <f t="shared" si="2"/>
        <v>Keep</v>
      </c>
    </row>
    <row r="170" spans="1:7">
      <c r="A170">
        <v>2022</v>
      </c>
      <c r="B170" t="s">
        <v>22</v>
      </c>
      <c r="C170" t="s">
        <v>14</v>
      </c>
      <c r="D170">
        <v>9164</v>
      </c>
      <c r="E170">
        <v>27.45</v>
      </c>
      <c r="F170">
        <v>468.13</v>
      </c>
      <c r="G170" t="str">
        <f t="shared" si="2"/>
        <v>Keep</v>
      </c>
    </row>
    <row r="171" spans="1:7">
      <c r="A171">
        <v>2022</v>
      </c>
      <c r="B171" t="s">
        <v>22</v>
      </c>
      <c r="C171" t="s">
        <v>15</v>
      </c>
      <c r="D171">
        <v>6855</v>
      </c>
      <c r="E171">
        <v>42.08</v>
      </c>
      <c r="F171">
        <v>347.01</v>
      </c>
      <c r="G171" t="str">
        <f t="shared" si="2"/>
        <v>Keep</v>
      </c>
    </row>
    <row r="172" spans="1:7">
      <c r="A172">
        <v>2022</v>
      </c>
      <c r="B172" t="s">
        <v>22</v>
      </c>
      <c r="C172" t="s">
        <v>16</v>
      </c>
      <c r="D172">
        <v>8392</v>
      </c>
      <c r="E172">
        <v>49.12</v>
      </c>
      <c r="F172">
        <v>399.31</v>
      </c>
      <c r="G172" t="str">
        <f t="shared" si="2"/>
        <v>Keep</v>
      </c>
    </row>
    <row r="173" spans="1:7">
      <c r="A173">
        <v>2022</v>
      </c>
      <c r="B173" t="s">
        <v>22</v>
      </c>
      <c r="C173" t="s">
        <v>17</v>
      </c>
      <c r="D173">
        <v>7528</v>
      </c>
      <c r="E173">
        <v>32.24</v>
      </c>
      <c r="F173">
        <v>383.28</v>
      </c>
      <c r="G173" t="str">
        <f t="shared" si="2"/>
        <v>Keep</v>
      </c>
    </row>
    <row r="174" spans="1:7">
      <c r="A174">
        <v>2022</v>
      </c>
      <c r="B174" t="s">
        <v>22</v>
      </c>
      <c r="C174" t="s">
        <v>8</v>
      </c>
      <c r="D174">
        <v>6249</v>
      </c>
      <c r="E174">
        <v>22.91</v>
      </c>
      <c r="F174">
        <v>318.39</v>
      </c>
      <c r="G174" t="str">
        <f t="shared" si="2"/>
        <v>Keep</v>
      </c>
    </row>
    <row r="175" spans="1:7">
      <c r="A175">
        <v>2022</v>
      </c>
      <c r="B175" t="s">
        <v>22</v>
      </c>
      <c r="C175" t="s">
        <v>9</v>
      </c>
      <c r="D175">
        <v>6172</v>
      </c>
      <c r="E175">
        <v>11.74</v>
      </c>
      <c r="F175">
        <v>362.95</v>
      </c>
      <c r="G175" t="str">
        <f t="shared" si="2"/>
        <v>Keep</v>
      </c>
    </row>
    <row r="176" spans="1:7">
      <c r="A176">
        <v>2022</v>
      </c>
      <c r="B176" t="s">
        <v>22</v>
      </c>
      <c r="C176" t="s">
        <v>10</v>
      </c>
      <c r="D176">
        <v>2707</v>
      </c>
      <c r="E176">
        <v>46.99</v>
      </c>
      <c r="F176">
        <v>130.24</v>
      </c>
      <c r="G176" t="str">
        <f t="shared" si="2"/>
        <v>Keep</v>
      </c>
    </row>
    <row r="177" spans="1:7">
      <c r="A177">
        <v>2022</v>
      </c>
      <c r="B177" t="s">
        <v>22</v>
      </c>
      <c r="C177" t="s">
        <v>11</v>
      </c>
      <c r="D177">
        <v>6791</v>
      </c>
      <c r="E177">
        <v>46.76</v>
      </c>
      <c r="F177">
        <v>352.46</v>
      </c>
      <c r="G177" t="str">
        <f t="shared" si="2"/>
        <v>Keep</v>
      </c>
    </row>
    <row r="178" spans="1:7">
      <c r="A178">
        <v>2022</v>
      </c>
      <c r="B178" t="s">
        <v>22</v>
      </c>
      <c r="C178" t="s">
        <v>12</v>
      </c>
      <c r="D178">
        <v>6535</v>
      </c>
      <c r="E178">
        <v>20.12</v>
      </c>
      <c r="F178">
        <v>377.05</v>
      </c>
      <c r="G178" t="str">
        <f t="shared" si="2"/>
        <v>Keep</v>
      </c>
    </row>
    <row r="179" spans="1:7">
      <c r="A179">
        <v>2022</v>
      </c>
      <c r="B179" t="s">
        <v>22</v>
      </c>
      <c r="C179" t="s">
        <v>13</v>
      </c>
      <c r="D179">
        <v>5931</v>
      </c>
      <c r="E179">
        <v>37.82</v>
      </c>
      <c r="F179">
        <v>257.68</v>
      </c>
      <c r="G179" t="str">
        <f t="shared" si="2"/>
        <v>Keep</v>
      </c>
    </row>
    <row r="180" spans="1:7">
      <c r="A180">
        <v>2022</v>
      </c>
      <c r="B180" t="s">
        <v>22</v>
      </c>
      <c r="C180" t="s">
        <v>14</v>
      </c>
      <c r="D180">
        <v>4510</v>
      </c>
      <c r="E180">
        <v>13.02</v>
      </c>
      <c r="F180">
        <v>244.47</v>
      </c>
      <c r="G180" t="str">
        <f t="shared" si="2"/>
        <v>Keep</v>
      </c>
    </row>
    <row r="181" spans="1:7">
      <c r="A181">
        <v>2022</v>
      </c>
      <c r="B181" t="s">
        <v>22</v>
      </c>
      <c r="C181" t="s">
        <v>15</v>
      </c>
      <c r="D181">
        <v>1202</v>
      </c>
      <c r="E181">
        <v>16.65</v>
      </c>
      <c r="F181">
        <v>77.64</v>
      </c>
      <c r="G181" t="str">
        <f t="shared" si="2"/>
        <v>Keep</v>
      </c>
    </row>
    <row r="182" spans="1:7">
      <c r="A182">
        <v>2022</v>
      </c>
      <c r="B182" t="s">
        <v>22</v>
      </c>
      <c r="C182" t="s">
        <v>16</v>
      </c>
      <c r="D182">
        <v>5218</v>
      </c>
      <c r="E182">
        <v>18.67</v>
      </c>
      <c r="F182">
        <v>339.92</v>
      </c>
      <c r="G182" t="str">
        <f t="shared" si="2"/>
        <v>Keep</v>
      </c>
    </row>
    <row r="183" spans="1:7">
      <c r="A183">
        <v>2022</v>
      </c>
      <c r="B183" t="s">
        <v>22</v>
      </c>
      <c r="C183" t="s">
        <v>17</v>
      </c>
      <c r="D183">
        <v>9958</v>
      </c>
      <c r="E183">
        <v>21.78</v>
      </c>
      <c r="F183">
        <v>524.74</v>
      </c>
      <c r="G183" t="str">
        <f t="shared" si="2"/>
        <v>Keep</v>
      </c>
    </row>
    <row r="184" spans="1:7">
      <c r="A184">
        <v>2022</v>
      </c>
      <c r="B184" t="s">
        <v>22</v>
      </c>
      <c r="C184" t="s">
        <v>8</v>
      </c>
      <c r="D184">
        <v>5389</v>
      </c>
      <c r="E184">
        <v>49.83</v>
      </c>
      <c r="F184">
        <v>275.9</v>
      </c>
      <c r="G184" t="str">
        <f t="shared" si="2"/>
        <v>Keep</v>
      </c>
    </row>
    <row r="185" spans="1:7">
      <c r="A185">
        <v>2022</v>
      </c>
      <c r="B185" t="s">
        <v>23</v>
      </c>
      <c r="C185" t="s">
        <v>9</v>
      </c>
      <c r="D185">
        <v>3327</v>
      </c>
      <c r="E185">
        <v>37.88</v>
      </c>
      <c r="F185">
        <v>133.28</v>
      </c>
      <c r="G185" t="str">
        <f t="shared" si="2"/>
        <v>Keep</v>
      </c>
    </row>
    <row r="186" spans="1:7">
      <c r="A186">
        <v>2022</v>
      </c>
      <c r="B186" t="s">
        <v>23</v>
      </c>
      <c r="C186" t="s">
        <v>10</v>
      </c>
      <c r="D186">
        <v>9004</v>
      </c>
      <c r="E186">
        <v>25.37</v>
      </c>
      <c r="F186">
        <v>472.62</v>
      </c>
      <c r="G186" t="str">
        <f t="shared" si="2"/>
        <v>Keep</v>
      </c>
    </row>
    <row r="187" spans="1:7">
      <c r="A187">
        <v>2022</v>
      </c>
      <c r="B187" t="s">
        <v>23</v>
      </c>
      <c r="C187" t="s">
        <v>11</v>
      </c>
      <c r="D187">
        <v>3931</v>
      </c>
      <c r="E187">
        <v>39.48</v>
      </c>
      <c r="F187">
        <v>218.74</v>
      </c>
      <c r="G187" t="str">
        <f t="shared" si="2"/>
        <v>Keep</v>
      </c>
    </row>
    <row r="188" spans="1:7">
      <c r="A188">
        <v>2022</v>
      </c>
      <c r="B188" t="s">
        <v>23</v>
      </c>
      <c r="C188" t="s">
        <v>12</v>
      </c>
      <c r="D188">
        <v>8777</v>
      </c>
      <c r="E188">
        <v>46.61</v>
      </c>
      <c r="F188">
        <v>450.16</v>
      </c>
      <c r="G188" t="str">
        <f t="shared" si="2"/>
        <v>Keep</v>
      </c>
    </row>
    <row r="189" spans="1:7">
      <c r="A189">
        <v>2022</v>
      </c>
      <c r="B189" t="s">
        <v>23</v>
      </c>
      <c r="C189" t="s">
        <v>13</v>
      </c>
      <c r="D189">
        <v>1197</v>
      </c>
      <c r="E189">
        <v>48.35</v>
      </c>
      <c r="F189">
        <v>64.3</v>
      </c>
      <c r="G189" t="str">
        <f t="shared" si="2"/>
        <v>Keep</v>
      </c>
    </row>
    <row r="190" spans="1:7">
      <c r="A190">
        <v>2022</v>
      </c>
      <c r="B190" t="s">
        <v>23</v>
      </c>
      <c r="C190" t="s">
        <v>14</v>
      </c>
      <c r="D190">
        <v>8125</v>
      </c>
      <c r="E190">
        <v>12.31</v>
      </c>
      <c r="F190">
        <v>441.73</v>
      </c>
      <c r="G190" t="str">
        <f t="shared" si="2"/>
        <v>Keep</v>
      </c>
    </row>
    <row r="191" spans="1:7">
      <c r="A191">
        <v>2022</v>
      </c>
      <c r="B191" t="s">
        <v>23</v>
      </c>
      <c r="C191" t="s">
        <v>15</v>
      </c>
      <c r="D191">
        <v>2930</v>
      </c>
      <c r="E191">
        <v>25.78</v>
      </c>
      <c r="F191">
        <v>166.79</v>
      </c>
      <c r="G191" t="str">
        <f t="shared" si="2"/>
        <v>Keep</v>
      </c>
    </row>
    <row r="192" spans="1:7">
      <c r="A192">
        <v>2022</v>
      </c>
      <c r="B192" t="s">
        <v>23</v>
      </c>
      <c r="C192" t="s">
        <v>16</v>
      </c>
      <c r="D192">
        <v>7287</v>
      </c>
      <c r="E192">
        <v>14.27</v>
      </c>
      <c r="F192">
        <v>363.36</v>
      </c>
      <c r="G192" t="str">
        <f t="shared" si="2"/>
        <v>Keep</v>
      </c>
    </row>
    <row r="193" spans="1:7">
      <c r="A193">
        <v>2022</v>
      </c>
      <c r="B193" t="s">
        <v>23</v>
      </c>
      <c r="C193" t="s">
        <v>17</v>
      </c>
      <c r="D193">
        <v>9800</v>
      </c>
      <c r="E193">
        <v>23.43</v>
      </c>
      <c r="F193">
        <v>493.88</v>
      </c>
      <c r="G193" t="str">
        <f t="shared" si="2"/>
        <v>Keep</v>
      </c>
    </row>
    <row r="194" spans="1:7">
      <c r="A194">
        <v>2022</v>
      </c>
      <c r="B194" t="s">
        <v>23</v>
      </c>
      <c r="C194" t="s">
        <v>8</v>
      </c>
      <c r="D194">
        <v>5282</v>
      </c>
      <c r="E194">
        <v>16.79</v>
      </c>
      <c r="F194">
        <v>298.57</v>
      </c>
      <c r="G194" t="str">
        <f t="shared" si="2"/>
        <v>Keep</v>
      </c>
    </row>
    <row r="195" spans="1:7">
      <c r="A195">
        <v>2022</v>
      </c>
      <c r="B195" t="s">
        <v>23</v>
      </c>
      <c r="C195" t="s">
        <v>9</v>
      </c>
      <c r="D195">
        <v>3511</v>
      </c>
      <c r="E195">
        <v>35.87</v>
      </c>
      <c r="F195">
        <v>168.18</v>
      </c>
      <c r="G195" t="str">
        <f t="shared" si="2"/>
        <v>Keep</v>
      </c>
    </row>
    <row r="196" spans="1:7">
      <c r="A196">
        <v>2022</v>
      </c>
      <c r="B196" t="s">
        <v>23</v>
      </c>
      <c r="C196" t="s">
        <v>10</v>
      </c>
      <c r="D196">
        <v>1659</v>
      </c>
      <c r="E196">
        <v>25.53</v>
      </c>
      <c r="F196">
        <v>116.09</v>
      </c>
      <c r="G196" t="str">
        <f t="shared" si="2"/>
        <v>Keep</v>
      </c>
    </row>
    <row r="197" spans="1:7">
      <c r="A197">
        <v>2022</v>
      </c>
      <c r="B197" t="s">
        <v>23</v>
      </c>
      <c r="C197" t="s">
        <v>11</v>
      </c>
      <c r="D197">
        <v>3811</v>
      </c>
      <c r="E197">
        <v>19.18</v>
      </c>
      <c r="F197">
        <v>226.87</v>
      </c>
      <c r="G197" t="str">
        <f t="shared" ref="G197:G260" si="3">IF(OR(F197&lt;=$J$7,F197&gt;=$J$8),"Outlier","Keep")</f>
        <v>Keep</v>
      </c>
    </row>
    <row r="198" spans="1:7">
      <c r="A198">
        <v>2022</v>
      </c>
      <c r="B198" t="s">
        <v>23</v>
      </c>
      <c r="C198" t="s">
        <v>12</v>
      </c>
      <c r="D198">
        <v>8098</v>
      </c>
      <c r="E198">
        <v>20.64</v>
      </c>
      <c r="F198">
        <v>457.48</v>
      </c>
      <c r="G198" t="str">
        <f t="shared" si="3"/>
        <v>Keep</v>
      </c>
    </row>
    <row r="199" spans="1:7">
      <c r="A199">
        <v>2022</v>
      </c>
      <c r="B199" t="s">
        <v>23</v>
      </c>
      <c r="C199" t="s">
        <v>13</v>
      </c>
      <c r="D199">
        <v>7546</v>
      </c>
      <c r="E199">
        <v>24.41</v>
      </c>
      <c r="F199">
        <v>417.17</v>
      </c>
      <c r="G199" t="str">
        <f t="shared" si="3"/>
        <v>Keep</v>
      </c>
    </row>
    <row r="200" spans="1:7">
      <c r="A200">
        <v>2022</v>
      </c>
      <c r="B200" t="s">
        <v>23</v>
      </c>
      <c r="C200" t="s">
        <v>14</v>
      </c>
      <c r="D200">
        <v>2986</v>
      </c>
      <c r="E200">
        <v>20.4</v>
      </c>
      <c r="F200">
        <v>179.37</v>
      </c>
      <c r="G200" t="str">
        <f t="shared" si="3"/>
        <v>Keep</v>
      </c>
    </row>
    <row r="201" spans="1:7">
      <c r="A201">
        <v>2022</v>
      </c>
      <c r="B201" t="s">
        <v>23</v>
      </c>
      <c r="C201" t="s">
        <v>15</v>
      </c>
      <c r="D201">
        <v>9338</v>
      </c>
      <c r="E201">
        <v>28.13</v>
      </c>
      <c r="F201">
        <v>498.1</v>
      </c>
      <c r="G201" t="str">
        <f t="shared" si="3"/>
        <v>Keep</v>
      </c>
    </row>
    <row r="202" spans="1:7">
      <c r="A202">
        <v>2022</v>
      </c>
      <c r="B202" t="s">
        <v>23</v>
      </c>
      <c r="C202" t="s">
        <v>16</v>
      </c>
      <c r="D202">
        <v>3911</v>
      </c>
      <c r="E202">
        <v>11.29</v>
      </c>
      <c r="F202">
        <v>252.1</v>
      </c>
      <c r="G202" t="str">
        <f t="shared" si="3"/>
        <v>Keep</v>
      </c>
    </row>
    <row r="203" spans="1:7">
      <c r="A203">
        <v>2022</v>
      </c>
      <c r="B203" t="s">
        <v>23</v>
      </c>
      <c r="C203" t="s">
        <v>17</v>
      </c>
      <c r="D203">
        <v>2734</v>
      </c>
      <c r="E203">
        <v>21.19</v>
      </c>
      <c r="F203">
        <v>151.12</v>
      </c>
      <c r="G203" t="str">
        <f t="shared" si="3"/>
        <v>Keep</v>
      </c>
    </row>
    <row r="204" spans="1:7">
      <c r="A204">
        <v>2022</v>
      </c>
      <c r="B204" t="s">
        <v>23</v>
      </c>
      <c r="C204" t="s">
        <v>8</v>
      </c>
      <c r="D204">
        <v>2843</v>
      </c>
      <c r="E204">
        <v>26.45</v>
      </c>
      <c r="F204">
        <v>153.83</v>
      </c>
      <c r="G204" t="str">
        <f t="shared" si="3"/>
        <v>Keep</v>
      </c>
    </row>
    <row r="205" spans="1:7">
      <c r="A205">
        <v>2022</v>
      </c>
      <c r="B205" t="s">
        <v>23</v>
      </c>
      <c r="C205" t="s">
        <v>9</v>
      </c>
      <c r="D205">
        <v>9680</v>
      </c>
      <c r="E205">
        <v>34.11</v>
      </c>
      <c r="F205">
        <v>491.13</v>
      </c>
      <c r="G205" t="str">
        <f t="shared" si="3"/>
        <v>Keep</v>
      </c>
    </row>
    <row r="206" spans="1:7">
      <c r="A206">
        <v>2022</v>
      </c>
      <c r="B206" t="s">
        <v>23</v>
      </c>
      <c r="C206" t="s">
        <v>10</v>
      </c>
      <c r="D206">
        <v>3976</v>
      </c>
      <c r="E206">
        <v>20.84</v>
      </c>
      <c r="F206">
        <v>214.28</v>
      </c>
      <c r="G206" t="str">
        <f t="shared" si="3"/>
        <v>Keep</v>
      </c>
    </row>
    <row r="207" spans="1:7">
      <c r="A207">
        <v>2022</v>
      </c>
      <c r="B207" t="s">
        <v>23</v>
      </c>
      <c r="C207" t="s">
        <v>11</v>
      </c>
      <c r="D207">
        <v>2959</v>
      </c>
      <c r="E207">
        <v>15.33</v>
      </c>
      <c r="F207">
        <v>199.87</v>
      </c>
      <c r="G207" t="str">
        <f t="shared" si="3"/>
        <v>Keep</v>
      </c>
    </row>
    <row r="208" spans="1:7">
      <c r="A208">
        <v>2022</v>
      </c>
      <c r="B208" t="s">
        <v>23</v>
      </c>
      <c r="C208" t="s">
        <v>12</v>
      </c>
      <c r="D208">
        <v>6759</v>
      </c>
      <c r="E208">
        <v>13.05</v>
      </c>
      <c r="F208">
        <v>359.75</v>
      </c>
      <c r="G208" t="str">
        <f t="shared" si="3"/>
        <v>Keep</v>
      </c>
    </row>
    <row r="209" spans="1:7">
      <c r="A209">
        <v>2022</v>
      </c>
      <c r="B209" t="s">
        <v>23</v>
      </c>
      <c r="C209" t="s">
        <v>13</v>
      </c>
      <c r="D209">
        <v>7694</v>
      </c>
      <c r="E209">
        <v>47.62</v>
      </c>
      <c r="F209">
        <v>402.59</v>
      </c>
      <c r="G209" t="str">
        <f t="shared" si="3"/>
        <v>Keep</v>
      </c>
    </row>
    <row r="210" spans="1:7">
      <c r="A210">
        <v>2022</v>
      </c>
      <c r="B210" t="s">
        <v>23</v>
      </c>
      <c r="C210" t="s">
        <v>14</v>
      </c>
      <c r="D210">
        <v>3385</v>
      </c>
      <c r="E210">
        <v>26.67</v>
      </c>
      <c r="F210">
        <v>179.91</v>
      </c>
      <c r="G210" t="str">
        <f t="shared" si="3"/>
        <v>Keep</v>
      </c>
    </row>
    <row r="211" spans="1:7">
      <c r="A211">
        <v>2022</v>
      </c>
      <c r="B211" t="s">
        <v>23</v>
      </c>
      <c r="C211" t="s">
        <v>15</v>
      </c>
      <c r="D211">
        <v>5736</v>
      </c>
      <c r="E211">
        <v>33.25</v>
      </c>
      <c r="F211">
        <v>306.35</v>
      </c>
      <c r="G211" t="str">
        <f t="shared" si="3"/>
        <v>Keep</v>
      </c>
    </row>
    <row r="212" spans="1:7">
      <c r="A212">
        <v>2022</v>
      </c>
      <c r="B212" t="s">
        <v>23</v>
      </c>
      <c r="C212" t="s">
        <v>16</v>
      </c>
      <c r="D212">
        <v>2802</v>
      </c>
      <c r="E212">
        <v>46.77</v>
      </c>
      <c r="F212">
        <v>137.31</v>
      </c>
      <c r="G212" t="str">
        <f t="shared" si="3"/>
        <v>Keep</v>
      </c>
    </row>
    <row r="213" spans="1:7">
      <c r="A213">
        <v>2022</v>
      </c>
      <c r="B213" t="s">
        <v>23</v>
      </c>
      <c r="C213" t="s">
        <v>17</v>
      </c>
      <c r="D213">
        <v>9155</v>
      </c>
      <c r="E213">
        <v>13.31</v>
      </c>
      <c r="F213">
        <v>472.26</v>
      </c>
      <c r="G213" t="str">
        <f t="shared" si="3"/>
        <v>Keep</v>
      </c>
    </row>
    <row r="214" spans="1:7">
      <c r="A214">
        <v>2022</v>
      </c>
      <c r="B214" t="s">
        <v>23</v>
      </c>
      <c r="C214" t="s">
        <v>8</v>
      </c>
      <c r="D214">
        <v>9120</v>
      </c>
      <c r="E214">
        <v>45.07</v>
      </c>
      <c r="F214">
        <v>451.52</v>
      </c>
      <c r="G214" t="str">
        <f t="shared" si="3"/>
        <v>Keep</v>
      </c>
    </row>
    <row r="215" spans="1:7">
      <c r="A215">
        <v>2022</v>
      </c>
      <c r="B215" t="s">
        <v>23</v>
      </c>
      <c r="C215" t="s">
        <v>9</v>
      </c>
      <c r="D215">
        <v>7616</v>
      </c>
      <c r="E215">
        <v>32.06</v>
      </c>
      <c r="F215">
        <v>399</v>
      </c>
      <c r="G215" t="str">
        <f t="shared" si="3"/>
        <v>Keep</v>
      </c>
    </row>
    <row r="216" spans="1:7">
      <c r="A216">
        <v>2022</v>
      </c>
      <c r="B216" t="s">
        <v>24</v>
      </c>
      <c r="C216" t="s">
        <v>10</v>
      </c>
      <c r="D216">
        <v>6534</v>
      </c>
      <c r="E216">
        <v>16.59</v>
      </c>
      <c r="F216">
        <v>355.5</v>
      </c>
      <c r="G216" t="str">
        <f t="shared" si="3"/>
        <v>Keep</v>
      </c>
    </row>
    <row r="217" spans="1:7">
      <c r="A217">
        <v>2022</v>
      </c>
      <c r="B217" t="s">
        <v>24</v>
      </c>
      <c r="C217" t="s">
        <v>11</v>
      </c>
      <c r="D217">
        <v>5061</v>
      </c>
      <c r="E217">
        <v>26.45</v>
      </c>
      <c r="F217">
        <v>244.46</v>
      </c>
      <c r="G217" t="str">
        <f t="shared" si="3"/>
        <v>Keep</v>
      </c>
    </row>
    <row r="218" spans="1:7">
      <c r="A218">
        <v>2022</v>
      </c>
      <c r="B218" t="s">
        <v>24</v>
      </c>
      <c r="C218" t="s">
        <v>12</v>
      </c>
      <c r="D218">
        <v>1262</v>
      </c>
      <c r="E218">
        <v>41.1</v>
      </c>
      <c r="F218">
        <v>97.8</v>
      </c>
      <c r="G218" t="str">
        <f t="shared" si="3"/>
        <v>Keep</v>
      </c>
    </row>
    <row r="219" spans="1:7">
      <c r="A219">
        <v>2022</v>
      </c>
      <c r="B219" t="s">
        <v>24</v>
      </c>
      <c r="C219" t="s">
        <v>13</v>
      </c>
      <c r="D219">
        <v>7287</v>
      </c>
      <c r="E219">
        <v>29.21</v>
      </c>
      <c r="F219">
        <v>381.05</v>
      </c>
      <c r="G219" t="str">
        <f t="shared" si="3"/>
        <v>Keep</v>
      </c>
    </row>
    <row r="220" spans="1:7">
      <c r="A220">
        <v>2022</v>
      </c>
      <c r="B220" t="s">
        <v>24</v>
      </c>
      <c r="C220" t="s">
        <v>14</v>
      </c>
      <c r="D220">
        <v>9815</v>
      </c>
      <c r="E220">
        <v>49.41</v>
      </c>
      <c r="F220">
        <v>465.57</v>
      </c>
      <c r="G220" t="str">
        <f t="shared" si="3"/>
        <v>Keep</v>
      </c>
    </row>
    <row r="221" spans="1:7">
      <c r="A221">
        <v>2022</v>
      </c>
      <c r="B221" t="s">
        <v>24</v>
      </c>
      <c r="C221" t="s">
        <v>15</v>
      </c>
      <c r="D221">
        <v>3049</v>
      </c>
      <c r="E221">
        <v>25.07</v>
      </c>
      <c r="F221">
        <v>204.78</v>
      </c>
      <c r="G221" t="str">
        <f t="shared" si="3"/>
        <v>Keep</v>
      </c>
    </row>
    <row r="222" spans="1:7">
      <c r="A222">
        <v>2022</v>
      </c>
      <c r="B222" t="s">
        <v>24</v>
      </c>
      <c r="C222" t="s">
        <v>16</v>
      </c>
      <c r="D222">
        <v>6423</v>
      </c>
      <c r="E222">
        <v>39.98</v>
      </c>
      <c r="F222">
        <v>335.52</v>
      </c>
      <c r="G222" t="str">
        <f t="shared" si="3"/>
        <v>Keep</v>
      </c>
    </row>
    <row r="223" spans="1:7">
      <c r="A223">
        <v>2022</v>
      </c>
      <c r="B223" t="s">
        <v>24</v>
      </c>
      <c r="C223" t="s">
        <v>17</v>
      </c>
      <c r="D223">
        <v>5548</v>
      </c>
      <c r="E223">
        <v>25.72</v>
      </c>
      <c r="F223">
        <v>272.53</v>
      </c>
      <c r="G223" t="str">
        <f t="shared" si="3"/>
        <v>Keep</v>
      </c>
    </row>
    <row r="224" spans="1:7">
      <c r="A224">
        <v>2022</v>
      </c>
      <c r="B224" t="s">
        <v>24</v>
      </c>
      <c r="C224" t="s">
        <v>8</v>
      </c>
      <c r="D224">
        <v>4108</v>
      </c>
      <c r="E224">
        <v>43.17</v>
      </c>
      <c r="F224">
        <v>182.71</v>
      </c>
      <c r="G224" t="str">
        <f t="shared" si="3"/>
        <v>Keep</v>
      </c>
    </row>
    <row r="225" spans="1:7">
      <c r="A225">
        <v>2022</v>
      </c>
      <c r="B225" t="s">
        <v>24</v>
      </c>
      <c r="C225" t="s">
        <v>9</v>
      </c>
      <c r="D225">
        <v>8158</v>
      </c>
      <c r="E225">
        <v>32.76</v>
      </c>
      <c r="F225">
        <v>414.14</v>
      </c>
      <c r="G225" t="str">
        <f t="shared" si="3"/>
        <v>Keep</v>
      </c>
    </row>
    <row r="226" spans="1:7">
      <c r="A226">
        <v>2022</v>
      </c>
      <c r="B226" t="s">
        <v>24</v>
      </c>
      <c r="C226" t="s">
        <v>10</v>
      </c>
      <c r="D226">
        <v>8400</v>
      </c>
      <c r="E226">
        <v>12.54</v>
      </c>
      <c r="F226">
        <v>460.9</v>
      </c>
      <c r="G226" t="str">
        <f t="shared" si="3"/>
        <v>Keep</v>
      </c>
    </row>
    <row r="227" spans="1:7">
      <c r="A227">
        <v>2022</v>
      </c>
      <c r="B227" t="s">
        <v>24</v>
      </c>
      <c r="C227" t="s">
        <v>11</v>
      </c>
      <c r="D227">
        <v>4170</v>
      </c>
      <c r="E227">
        <v>11.47</v>
      </c>
      <c r="F227">
        <v>257.19</v>
      </c>
      <c r="G227" t="str">
        <f t="shared" si="3"/>
        <v>Keep</v>
      </c>
    </row>
    <row r="228" spans="1:7">
      <c r="A228">
        <v>2022</v>
      </c>
      <c r="B228" t="s">
        <v>24</v>
      </c>
      <c r="C228" t="s">
        <v>12</v>
      </c>
      <c r="D228">
        <v>3255</v>
      </c>
      <c r="E228">
        <v>15.35</v>
      </c>
      <c r="F228">
        <v>213.33</v>
      </c>
      <c r="G228" t="str">
        <f t="shared" si="3"/>
        <v>Keep</v>
      </c>
    </row>
    <row r="229" spans="1:7">
      <c r="A229">
        <v>2022</v>
      </c>
      <c r="B229" t="s">
        <v>24</v>
      </c>
      <c r="C229" t="s">
        <v>13</v>
      </c>
      <c r="D229">
        <v>2154</v>
      </c>
      <c r="E229">
        <v>10.55</v>
      </c>
      <c r="F229">
        <v>155.84</v>
      </c>
      <c r="G229" t="str">
        <f t="shared" si="3"/>
        <v>Keep</v>
      </c>
    </row>
    <row r="230" spans="1:7">
      <c r="A230">
        <v>2022</v>
      </c>
      <c r="B230" t="s">
        <v>24</v>
      </c>
      <c r="C230" t="s">
        <v>14</v>
      </c>
      <c r="D230">
        <v>5499</v>
      </c>
      <c r="E230">
        <v>13.01</v>
      </c>
      <c r="F230">
        <v>336.27</v>
      </c>
      <c r="G230" t="str">
        <f t="shared" si="3"/>
        <v>Keep</v>
      </c>
    </row>
    <row r="231" spans="1:7">
      <c r="A231">
        <v>2022</v>
      </c>
      <c r="B231" t="s">
        <v>24</v>
      </c>
      <c r="C231" t="s">
        <v>15</v>
      </c>
      <c r="D231">
        <v>7295</v>
      </c>
      <c r="E231">
        <v>37.67</v>
      </c>
      <c r="F231">
        <v>372.08</v>
      </c>
      <c r="G231" t="str">
        <f t="shared" si="3"/>
        <v>Keep</v>
      </c>
    </row>
    <row r="232" spans="1:7">
      <c r="A232">
        <v>2022</v>
      </c>
      <c r="B232" t="s">
        <v>24</v>
      </c>
      <c r="C232" t="s">
        <v>16</v>
      </c>
      <c r="D232">
        <v>7197</v>
      </c>
      <c r="E232">
        <v>31.37</v>
      </c>
      <c r="F232">
        <v>357.01</v>
      </c>
      <c r="G232" t="str">
        <f t="shared" si="3"/>
        <v>Keep</v>
      </c>
    </row>
    <row r="233" spans="1:7">
      <c r="A233">
        <v>2022</v>
      </c>
      <c r="B233" t="s">
        <v>24</v>
      </c>
      <c r="C233" t="s">
        <v>17</v>
      </c>
      <c r="D233">
        <v>2648</v>
      </c>
      <c r="E233">
        <v>40</v>
      </c>
      <c r="F233">
        <v>134.34</v>
      </c>
      <c r="G233" t="str">
        <f t="shared" si="3"/>
        <v>Keep</v>
      </c>
    </row>
    <row r="234" spans="1:7">
      <c r="A234">
        <v>2022</v>
      </c>
      <c r="B234" t="s">
        <v>24</v>
      </c>
      <c r="C234" t="s">
        <v>8</v>
      </c>
      <c r="D234">
        <v>6539</v>
      </c>
      <c r="E234">
        <v>46.53</v>
      </c>
      <c r="F234">
        <v>319.74</v>
      </c>
      <c r="G234" t="str">
        <f t="shared" si="3"/>
        <v>Keep</v>
      </c>
    </row>
    <row r="235" spans="1:7">
      <c r="A235">
        <v>2022</v>
      </c>
      <c r="B235" t="s">
        <v>24</v>
      </c>
      <c r="C235" t="s">
        <v>9</v>
      </c>
      <c r="D235">
        <v>5199</v>
      </c>
      <c r="E235">
        <v>33.41</v>
      </c>
      <c r="F235">
        <v>218.3</v>
      </c>
      <c r="G235" t="str">
        <f t="shared" si="3"/>
        <v>Keep</v>
      </c>
    </row>
    <row r="236" spans="1:7">
      <c r="A236">
        <v>2022</v>
      </c>
      <c r="B236" t="s">
        <v>24</v>
      </c>
      <c r="C236" t="s">
        <v>10</v>
      </c>
      <c r="D236">
        <v>9445</v>
      </c>
      <c r="E236">
        <v>39.04</v>
      </c>
      <c r="F236">
        <v>464.17</v>
      </c>
      <c r="G236" t="str">
        <f t="shared" si="3"/>
        <v>Keep</v>
      </c>
    </row>
    <row r="237" spans="1:7">
      <c r="A237">
        <v>2022</v>
      </c>
      <c r="B237" t="s">
        <v>24</v>
      </c>
      <c r="C237" t="s">
        <v>11</v>
      </c>
      <c r="D237">
        <v>3557</v>
      </c>
      <c r="E237">
        <v>40.28</v>
      </c>
      <c r="F237">
        <v>185.79</v>
      </c>
      <c r="G237" t="str">
        <f t="shared" si="3"/>
        <v>Keep</v>
      </c>
    </row>
    <row r="238" spans="1:7">
      <c r="A238">
        <v>2022</v>
      </c>
      <c r="B238" t="s">
        <v>24</v>
      </c>
      <c r="C238" t="s">
        <v>12</v>
      </c>
      <c r="D238">
        <v>6592</v>
      </c>
      <c r="E238">
        <v>25.11</v>
      </c>
      <c r="F238">
        <v>340.98</v>
      </c>
      <c r="G238" t="str">
        <f t="shared" si="3"/>
        <v>Keep</v>
      </c>
    </row>
    <row r="239" spans="1:7">
      <c r="A239">
        <v>2022</v>
      </c>
      <c r="B239" t="s">
        <v>24</v>
      </c>
      <c r="C239" t="s">
        <v>13</v>
      </c>
      <c r="D239">
        <v>1098</v>
      </c>
      <c r="E239">
        <v>19.64</v>
      </c>
      <c r="F239">
        <v>68.4</v>
      </c>
      <c r="G239" t="str">
        <f t="shared" si="3"/>
        <v>Keep</v>
      </c>
    </row>
    <row r="240" spans="1:7">
      <c r="A240">
        <v>2022</v>
      </c>
      <c r="B240" t="s">
        <v>24</v>
      </c>
      <c r="C240" t="s">
        <v>14</v>
      </c>
      <c r="D240">
        <v>3200</v>
      </c>
      <c r="E240">
        <v>18.2</v>
      </c>
      <c r="F240">
        <v>206.39</v>
      </c>
      <c r="G240" t="str">
        <f t="shared" si="3"/>
        <v>Keep</v>
      </c>
    </row>
    <row r="241" spans="1:7">
      <c r="A241">
        <v>2022</v>
      </c>
      <c r="B241" t="s">
        <v>24</v>
      </c>
      <c r="C241" t="s">
        <v>15</v>
      </c>
      <c r="D241">
        <v>3961</v>
      </c>
      <c r="E241">
        <v>20.06</v>
      </c>
      <c r="F241">
        <v>205.65</v>
      </c>
      <c r="G241" t="str">
        <f t="shared" si="3"/>
        <v>Keep</v>
      </c>
    </row>
    <row r="242" spans="1:7">
      <c r="A242">
        <v>2022</v>
      </c>
      <c r="B242" t="s">
        <v>24</v>
      </c>
      <c r="C242" t="s">
        <v>16</v>
      </c>
      <c r="D242">
        <v>5973</v>
      </c>
      <c r="E242">
        <v>20.99</v>
      </c>
      <c r="F242">
        <v>337.7</v>
      </c>
      <c r="G242" t="str">
        <f t="shared" si="3"/>
        <v>Keep</v>
      </c>
    </row>
    <row r="243" spans="1:7">
      <c r="A243">
        <v>2022</v>
      </c>
      <c r="B243" t="s">
        <v>24</v>
      </c>
      <c r="C243" t="s">
        <v>17</v>
      </c>
      <c r="D243">
        <v>5433</v>
      </c>
      <c r="E243">
        <v>18.29</v>
      </c>
      <c r="F243">
        <v>273.05</v>
      </c>
      <c r="G243" t="str">
        <f t="shared" si="3"/>
        <v>Keep</v>
      </c>
    </row>
    <row r="244" spans="1:7">
      <c r="A244">
        <v>2022</v>
      </c>
      <c r="B244" t="s">
        <v>24</v>
      </c>
      <c r="C244" t="s">
        <v>8</v>
      </c>
      <c r="D244">
        <v>3869</v>
      </c>
      <c r="E244">
        <v>45.13</v>
      </c>
      <c r="F244">
        <v>244.51</v>
      </c>
      <c r="G244" t="str">
        <f t="shared" si="3"/>
        <v>Keep</v>
      </c>
    </row>
    <row r="245" spans="1:7">
      <c r="A245">
        <v>2022</v>
      </c>
      <c r="B245" t="s">
        <v>24</v>
      </c>
      <c r="C245" t="s">
        <v>9</v>
      </c>
      <c r="D245">
        <v>1956</v>
      </c>
      <c r="E245">
        <v>40.28</v>
      </c>
      <c r="F245">
        <v>95.15</v>
      </c>
      <c r="G245" t="str">
        <f t="shared" si="3"/>
        <v>Keep</v>
      </c>
    </row>
    <row r="246" spans="1:7">
      <c r="A246">
        <v>2022</v>
      </c>
      <c r="B246" t="s">
        <v>24</v>
      </c>
      <c r="C246" t="s">
        <v>10</v>
      </c>
      <c r="D246">
        <v>9352</v>
      </c>
      <c r="E246">
        <v>11.88</v>
      </c>
      <c r="F246">
        <v>496.88</v>
      </c>
      <c r="G246" t="str">
        <f t="shared" si="3"/>
        <v>Keep</v>
      </c>
    </row>
    <row r="247" spans="1:7">
      <c r="A247">
        <v>2022</v>
      </c>
      <c r="B247" t="s">
        <v>25</v>
      </c>
      <c r="C247" t="s">
        <v>11</v>
      </c>
      <c r="D247">
        <v>6699</v>
      </c>
      <c r="E247">
        <v>20.75</v>
      </c>
      <c r="F247">
        <v>382.92</v>
      </c>
      <c r="G247" t="str">
        <f t="shared" si="3"/>
        <v>Keep</v>
      </c>
    </row>
    <row r="248" spans="1:7">
      <c r="A248">
        <v>2022</v>
      </c>
      <c r="B248" t="s">
        <v>25</v>
      </c>
      <c r="C248" t="s">
        <v>12</v>
      </c>
      <c r="D248">
        <v>7944</v>
      </c>
      <c r="E248">
        <v>10.89</v>
      </c>
      <c r="F248">
        <v>425.76</v>
      </c>
      <c r="G248" t="str">
        <f t="shared" si="3"/>
        <v>Keep</v>
      </c>
    </row>
    <row r="249" spans="1:7">
      <c r="A249">
        <v>2022</v>
      </c>
      <c r="B249" t="s">
        <v>25</v>
      </c>
      <c r="C249" t="s">
        <v>13</v>
      </c>
      <c r="D249">
        <v>5493</v>
      </c>
      <c r="E249">
        <v>29.93</v>
      </c>
      <c r="F249">
        <v>317.84</v>
      </c>
      <c r="G249" t="str">
        <f t="shared" si="3"/>
        <v>Keep</v>
      </c>
    </row>
    <row r="250" spans="1:7">
      <c r="A250">
        <v>2022</v>
      </c>
      <c r="B250" t="s">
        <v>25</v>
      </c>
      <c r="C250" t="s">
        <v>14</v>
      </c>
      <c r="D250">
        <v>5911</v>
      </c>
      <c r="E250">
        <v>29.05</v>
      </c>
      <c r="F250">
        <v>318.12</v>
      </c>
      <c r="G250" t="str">
        <f t="shared" si="3"/>
        <v>Keep</v>
      </c>
    </row>
    <row r="251" spans="1:7">
      <c r="A251">
        <v>2022</v>
      </c>
      <c r="B251" t="s">
        <v>25</v>
      </c>
      <c r="C251" t="s">
        <v>15</v>
      </c>
      <c r="D251">
        <v>4987</v>
      </c>
      <c r="E251">
        <v>43.25</v>
      </c>
      <c r="F251">
        <v>245.08</v>
      </c>
      <c r="G251" t="str">
        <f t="shared" si="3"/>
        <v>Keep</v>
      </c>
    </row>
    <row r="252" spans="1:7">
      <c r="A252">
        <v>2022</v>
      </c>
      <c r="B252" t="s">
        <v>25</v>
      </c>
      <c r="C252" t="s">
        <v>16</v>
      </c>
      <c r="D252">
        <v>7015</v>
      </c>
      <c r="E252">
        <v>22.31</v>
      </c>
      <c r="F252">
        <v>369.48</v>
      </c>
      <c r="G252" t="str">
        <f t="shared" si="3"/>
        <v>Keep</v>
      </c>
    </row>
    <row r="253" spans="1:7">
      <c r="A253">
        <v>2022</v>
      </c>
      <c r="B253" t="s">
        <v>25</v>
      </c>
      <c r="C253" t="s">
        <v>17</v>
      </c>
      <c r="D253">
        <v>2218</v>
      </c>
      <c r="E253">
        <v>42.66</v>
      </c>
      <c r="F253">
        <v>133.87</v>
      </c>
      <c r="G253" t="str">
        <f t="shared" si="3"/>
        <v>Keep</v>
      </c>
    </row>
    <row r="254" spans="1:7">
      <c r="A254">
        <v>2022</v>
      </c>
      <c r="B254" t="s">
        <v>25</v>
      </c>
      <c r="C254" t="s">
        <v>8</v>
      </c>
      <c r="D254">
        <v>5496</v>
      </c>
      <c r="E254">
        <v>48.72</v>
      </c>
      <c r="F254">
        <v>270.95</v>
      </c>
      <c r="G254" t="str">
        <f t="shared" si="3"/>
        <v>Keep</v>
      </c>
    </row>
    <row r="255" spans="1:7">
      <c r="A255">
        <v>2022</v>
      </c>
      <c r="B255" t="s">
        <v>25</v>
      </c>
      <c r="C255" t="s">
        <v>9</v>
      </c>
      <c r="D255">
        <v>5735</v>
      </c>
      <c r="E255">
        <v>13.54</v>
      </c>
      <c r="F255">
        <v>329.15</v>
      </c>
      <c r="G255" t="str">
        <f t="shared" si="3"/>
        <v>Keep</v>
      </c>
    </row>
    <row r="256" spans="1:7">
      <c r="A256">
        <v>2022</v>
      </c>
      <c r="B256" t="s">
        <v>25</v>
      </c>
      <c r="C256" t="s">
        <v>10</v>
      </c>
      <c r="D256">
        <v>5555</v>
      </c>
      <c r="E256">
        <v>41.67</v>
      </c>
      <c r="F256">
        <v>288.56</v>
      </c>
      <c r="G256" t="str">
        <f t="shared" si="3"/>
        <v>Keep</v>
      </c>
    </row>
    <row r="257" spans="1:7">
      <c r="A257">
        <v>2022</v>
      </c>
      <c r="B257" t="s">
        <v>25</v>
      </c>
      <c r="C257" t="s">
        <v>11</v>
      </c>
      <c r="D257">
        <v>9050</v>
      </c>
      <c r="E257">
        <v>33.6</v>
      </c>
      <c r="F257">
        <v>464.84</v>
      </c>
      <c r="G257" t="str">
        <f t="shared" si="3"/>
        <v>Keep</v>
      </c>
    </row>
    <row r="258" spans="1:7">
      <c r="A258">
        <v>2022</v>
      </c>
      <c r="B258" t="s">
        <v>25</v>
      </c>
      <c r="C258" t="s">
        <v>12</v>
      </c>
      <c r="D258">
        <v>4446</v>
      </c>
      <c r="E258">
        <v>29.2</v>
      </c>
      <c r="F258">
        <v>247.66</v>
      </c>
      <c r="G258" t="str">
        <f t="shared" si="3"/>
        <v>Keep</v>
      </c>
    </row>
    <row r="259" spans="1:7">
      <c r="A259">
        <v>2022</v>
      </c>
      <c r="B259" t="s">
        <v>25</v>
      </c>
      <c r="C259" t="s">
        <v>13</v>
      </c>
      <c r="D259">
        <v>2045</v>
      </c>
      <c r="E259">
        <v>26.82</v>
      </c>
      <c r="F259">
        <v>117.7</v>
      </c>
      <c r="G259" t="str">
        <f t="shared" si="3"/>
        <v>Keep</v>
      </c>
    </row>
    <row r="260" spans="1:7">
      <c r="A260">
        <v>2022</v>
      </c>
      <c r="B260" t="s">
        <v>25</v>
      </c>
      <c r="C260" t="s">
        <v>14</v>
      </c>
      <c r="D260">
        <v>7893</v>
      </c>
      <c r="E260">
        <v>41.39</v>
      </c>
      <c r="F260">
        <v>393.99</v>
      </c>
      <c r="G260" t="str">
        <f t="shared" si="3"/>
        <v>Keep</v>
      </c>
    </row>
    <row r="261" spans="1:7">
      <c r="A261">
        <v>2022</v>
      </c>
      <c r="B261" t="s">
        <v>25</v>
      </c>
      <c r="C261" t="s">
        <v>15</v>
      </c>
      <c r="D261">
        <v>2693</v>
      </c>
      <c r="E261">
        <v>35.57</v>
      </c>
      <c r="F261">
        <v>119.58</v>
      </c>
      <c r="G261" t="str">
        <f t="shared" ref="G261:G324" si="4">IF(OR(F261&lt;=$J$7,F261&gt;=$J$8),"Outlier","Keep")</f>
        <v>Keep</v>
      </c>
    </row>
    <row r="262" spans="1:7">
      <c r="A262">
        <v>2022</v>
      </c>
      <c r="B262" t="s">
        <v>25</v>
      </c>
      <c r="C262" t="s">
        <v>16</v>
      </c>
      <c r="D262">
        <v>4436</v>
      </c>
      <c r="E262">
        <v>42.2</v>
      </c>
      <c r="F262">
        <v>227.11</v>
      </c>
      <c r="G262" t="str">
        <f t="shared" si="4"/>
        <v>Keep</v>
      </c>
    </row>
    <row r="263" spans="1:7">
      <c r="A263">
        <v>2022</v>
      </c>
      <c r="B263" t="s">
        <v>25</v>
      </c>
      <c r="C263" t="s">
        <v>17</v>
      </c>
      <c r="D263">
        <v>9754</v>
      </c>
      <c r="E263">
        <v>46.13</v>
      </c>
      <c r="F263">
        <v>447.96</v>
      </c>
      <c r="G263" t="str">
        <f t="shared" si="4"/>
        <v>Keep</v>
      </c>
    </row>
    <row r="264" spans="1:7">
      <c r="A264">
        <v>2022</v>
      </c>
      <c r="B264" t="s">
        <v>25</v>
      </c>
      <c r="C264" t="s">
        <v>8</v>
      </c>
      <c r="D264">
        <v>6895</v>
      </c>
      <c r="E264">
        <v>34.69</v>
      </c>
      <c r="F264">
        <v>358.79</v>
      </c>
      <c r="G264" t="str">
        <f t="shared" si="4"/>
        <v>Keep</v>
      </c>
    </row>
    <row r="265" spans="1:7">
      <c r="A265">
        <v>2022</v>
      </c>
      <c r="B265" t="s">
        <v>25</v>
      </c>
      <c r="C265" t="s">
        <v>9</v>
      </c>
      <c r="D265">
        <v>4354</v>
      </c>
      <c r="E265">
        <v>49.22</v>
      </c>
      <c r="F265">
        <v>203.03</v>
      </c>
      <c r="G265" t="str">
        <f t="shared" si="4"/>
        <v>Keep</v>
      </c>
    </row>
    <row r="266" spans="1:7">
      <c r="A266">
        <v>2022</v>
      </c>
      <c r="B266" t="s">
        <v>25</v>
      </c>
      <c r="C266" t="s">
        <v>10</v>
      </c>
      <c r="D266">
        <v>1225</v>
      </c>
      <c r="E266">
        <v>34.32</v>
      </c>
      <c r="F266">
        <v>77.55</v>
      </c>
      <c r="G266" t="str">
        <f t="shared" si="4"/>
        <v>Keep</v>
      </c>
    </row>
    <row r="267" spans="1:7">
      <c r="A267">
        <v>2022</v>
      </c>
      <c r="B267" t="s">
        <v>25</v>
      </c>
      <c r="C267" t="s">
        <v>11</v>
      </c>
      <c r="D267">
        <v>5893</v>
      </c>
      <c r="E267">
        <v>35.47</v>
      </c>
      <c r="F267">
        <v>281.11</v>
      </c>
      <c r="G267" t="str">
        <f t="shared" si="4"/>
        <v>Keep</v>
      </c>
    </row>
    <row r="268" spans="1:7">
      <c r="A268">
        <v>2022</v>
      </c>
      <c r="B268" t="s">
        <v>25</v>
      </c>
      <c r="C268" t="s">
        <v>12</v>
      </c>
      <c r="D268">
        <v>8022</v>
      </c>
      <c r="E268">
        <v>32.19</v>
      </c>
      <c r="F268">
        <v>370.08</v>
      </c>
      <c r="G268" t="str">
        <f t="shared" si="4"/>
        <v>Keep</v>
      </c>
    </row>
    <row r="269" spans="1:7">
      <c r="A269">
        <v>2022</v>
      </c>
      <c r="B269" t="s">
        <v>25</v>
      </c>
      <c r="C269" t="s">
        <v>13</v>
      </c>
      <c r="D269">
        <v>6600</v>
      </c>
      <c r="E269">
        <v>13.64</v>
      </c>
      <c r="F269">
        <v>356.61</v>
      </c>
      <c r="G269" t="str">
        <f t="shared" si="4"/>
        <v>Keep</v>
      </c>
    </row>
    <row r="270" spans="1:7">
      <c r="A270">
        <v>2022</v>
      </c>
      <c r="B270" t="s">
        <v>25</v>
      </c>
      <c r="C270" t="s">
        <v>14</v>
      </c>
      <c r="D270">
        <v>8996</v>
      </c>
      <c r="E270">
        <v>39.06</v>
      </c>
      <c r="F270">
        <v>432.01</v>
      </c>
      <c r="G270" t="str">
        <f t="shared" si="4"/>
        <v>Keep</v>
      </c>
    </row>
    <row r="271" spans="1:7">
      <c r="A271">
        <v>2022</v>
      </c>
      <c r="B271" t="s">
        <v>25</v>
      </c>
      <c r="C271" t="s">
        <v>15</v>
      </c>
      <c r="D271">
        <v>8683</v>
      </c>
      <c r="E271">
        <v>31.9</v>
      </c>
      <c r="F271">
        <v>410.26</v>
      </c>
      <c r="G271" t="str">
        <f t="shared" si="4"/>
        <v>Keep</v>
      </c>
    </row>
    <row r="272" spans="1:7">
      <c r="A272">
        <v>2022</v>
      </c>
      <c r="B272" t="s">
        <v>25</v>
      </c>
      <c r="C272" t="s">
        <v>16</v>
      </c>
      <c r="D272">
        <v>5642</v>
      </c>
      <c r="E272">
        <v>28.04</v>
      </c>
      <c r="F272">
        <v>313.82</v>
      </c>
      <c r="G272" t="str">
        <f t="shared" si="4"/>
        <v>Keep</v>
      </c>
    </row>
    <row r="273" spans="1:7">
      <c r="A273">
        <v>2022</v>
      </c>
      <c r="B273" t="s">
        <v>25</v>
      </c>
      <c r="C273" t="s">
        <v>17</v>
      </c>
      <c r="D273">
        <v>8679</v>
      </c>
      <c r="E273">
        <v>46.42</v>
      </c>
      <c r="F273">
        <v>460.27</v>
      </c>
      <c r="G273" t="str">
        <f t="shared" si="4"/>
        <v>Keep</v>
      </c>
    </row>
    <row r="274" spans="1:7">
      <c r="A274">
        <v>2022</v>
      </c>
      <c r="B274" t="s">
        <v>25</v>
      </c>
      <c r="C274" t="s">
        <v>8</v>
      </c>
      <c r="D274">
        <v>9208</v>
      </c>
      <c r="E274">
        <v>21.92</v>
      </c>
      <c r="F274">
        <v>468.16</v>
      </c>
      <c r="G274" t="str">
        <f t="shared" si="4"/>
        <v>Keep</v>
      </c>
    </row>
    <row r="275" spans="1:7">
      <c r="A275">
        <v>2022</v>
      </c>
      <c r="B275" t="s">
        <v>25</v>
      </c>
      <c r="C275" t="s">
        <v>9</v>
      </c>
      <c r="D275">
        <v>8339</v>
      </c>
      <c r="E275">
        <v>30.94</v>
      </c>
      <c r="F275">
        <v>428.3</v>
      </c>
      <c r="G275" t="str">
        <f t="shared" si="4"/>
        <v>Keep</v>
      </c>
    </row>
    <row r="276" spans="1:7">
      <c r="A276">
        <v>2022</v>
      </c>
      <c r="B276" t="s">
        <v>25</v>
      </c>
      <c r="C276" t="s">
        <v>10</v>
      </c>
      <c r="D276">
        <v>3205</v>
      </c>
      <c r="E276">
        <v>37.91</v>
      </c>
      <c r="F276">
        <v>158.61</v>
      </c>
      <c r="G276" t="str">
        <f t="shared" si="4"/>
        <v>Keep</v>
      </c>
    </row>
    <row r="277" spans="1:7">
      <c r="A277">
        <v>2022</v>
      </c>
      <c r="B277" t="s">
        <v>26</v>
      </c>
      <c r="C277" t="s">
        <v>11</v>
      </c>
      <c r="D277">
        <v>2069</v>
      </c>
      <c r="E277">
        <v>41.86</v>
      </c>
      <c r="F277">
        <v>90.04</v>
      </c>
      <c r="G277" t="str">
        <f t="shared" si="4"/>
        <v>Keep</v>
      </c>
    </row>
    <row r="278" spans="1:7">
      <c r="A278">
        <v>2022</v>
      </c>
      <c r="B278" t="s">
        <v>26</v>
      </c>
      <c r="C278" t="s">
        <v>12</v>
      </c>
      <c r="D278">
        <v>4444</v>
      </c>
      <c r="E278">
        <v>28.37</v>
      </c>
      <c r="F278">
        <v>251.43</v>
      </c>
      <c r="G278" t="str">
        <f t="shared" si="4"/>
        <v>Keep</v>
      </c>
    </row>
    <row r="279" spans="1:7">
      <c r="A279">
        <v>2022</v>
      </c>
      <c r="B279" t="s">
        <v>26</v>
      </c>
      <c r="C279" t="s">
        <v>13</v>
      </c>
      <c r="D279">
        <v>2060</v>
      </c>
      <c r="E279">
        <v>43.68</v>
      </c>
      <c r="F279">
        <v>120.78</v>
      </c>
      <c r="G279" t="str">
        <f t="shared" si="4"/>
        <v>Keep</v>
      </c>
    </row>
    <row r="280" spans="1:7">
      <c r="A280">
        <v>2022</v>
      </c>
      <c r="B280" t="s">
        <v>26</v>
      </c>
      <c r="C280" t="s">
        <v>14</v>
      </c>
      <c r="D280">
        <v>3327</v>
      </c>
      <c r="E280">
        <v>40.76</v>
      </c>
      <c r="F280">
        <v>150.07</v>
      </c>
      <c r="G280" t="str">
        <f t="shared" si="4"/>
        <v>Keep</v>
      </c>
    </row>
    <row r="281" spans="1:7">
      <c r="A281">
        <v>2022</v>
      </c>
      <c r="B281" t="s">
        <v>26</v>
      </c>
      <c r="C281" t="s">
        <v>15</v>
      </c>
      <c r="D281">
        <v>4420</v>
      </c>
      <c r="E281">
        <v>12.65</v>
      </c>
      <c r="F281">
        <v>256.72</v>
      </c>
      <c r="G281" t="str">
        <f t="shared" si="4"/>
        <v>Keep</v>
      </c>
    </row>
    <row r="282" spans="1:7">
      <c r="A282">
        <v>2022</v>
      </c>
      <c r="B282" t="s">
        <v>26</v>
      </c>
      <c r="C282" t="s">
        <v>16</v>
      </c>
      <c r="D282">
        <v>1301</v>
      </c>
      <c r="E282">
        <v>11.83</v>
      </c>
      <c r="F282">
        <v>126.54</v>
      </c>
      <c r="G282" t="str">
        <f t="shared" si="4"/>
        <v>Keep</v>
      </c>
    </row>
    <row r="283" spans="1:7">
      <c r="A283">
        <v>2022</v>
      </c>
      <c r="B283" t="s">
        <v>26</v>
      </c>
      <c r="C283" t="s">
        <v>17</v>
      </c>
      <c r="D283">
        <v>1606</v>
      </c>
      <c r="E283">
        <v>34.83</v>
      </c>
      <c r="F283">
        <v>102.28</v>
      </c>
      <c r="G283" t="str">
        <f t="shared" si="4"/>
        <v>Keep</v>
      </c>
    </row>
    <row r="284" spans="1:7">
      <c r="A284">
        <v>2022</v>
      </c>
      <c r="B284" t="s">
        <v>26</v>
      </c>
      <c r="C284" t="s">
        <v>8</v>
      </c>
      <c r="D284">
        <v>4170</v>
      </c>
      <c r="E284">
        <v>23.9</v>
      </c>
      <c r="F284">
        <v>246.58</v>
      </c>
      <c r="G284" t="str">
        <f t="shared" si="4"/>
        <v>Keep</v>
      </c>
    </row>
    <row r="285" spans="1:7">
      <c r="A285">
        <v>2022</v>
      </c>
      <c r="B285" t="s">
        <v>26</v>
      </c>
      <c r="C285" t="s">
        <v>9</v>
      </c>
      <c r="D285">
        <v>1699</v>
      </c>
      <c r="E285">
        <v>18.37</v>
      </c>
      <c r="F285">
        <v>140.27</v>
      </c>
      <c r="G285" t="str">
        <f t="shared" si="4"/>
        <v>Keep</v>
      </c>
    </row>
    <row r="286" spans="1:7">
      <c r="A286">
        <v>2022</v>
      </c>
      <c r="B286" t="s">
        <v>26</v>
      </c>
      <c r="C286" t="s">
        <v>10</v>
      </c>
      <c r="D286">
        <v>6088</v>
      </c>
      <c r="E286">
        <v>33.19</v>
      </c>
      <c r="F286">
        <v>341.67</v>
      </c>
      <c r="G286" t="str">
        <f t="shared" si="4"/>
        <v>Keep</v>
      </c>
    </row>
    <row r="287" spans="1:7">
      <c r="A287">
        <v>2022</v>
      </c>
      <c r="B287" t="s">
        <v>26</v>
      </c>
      <c r="C287" t="s">
        <v>11</v>
      </c>
      <c r="D287">
        <v>1190</v>
      </c>
      <c r="E287">
        <v>23.66</v>
      </c>
      <c r="F287">
        <v>101.68</v>
      </c>
      <c r="G287" t="str">
        <f t="shared" si="4"/>
        <v>Keep</v>
      </c>
    </row>
    <row r="288" spans="1:7">
      <c r="A288">
        <v>2022</v>
      </c>
      <c r="B288" t="s">
        <v>26</v>
      </c>
      <c r="C288" t="s">
        <v>12</v>
      </c>
      <c r="D288">
        <v>1980</v>
      </c>
      <c r="E288">
        <v>31.49</v>
      </c>
      <c r="F288">
        <v>114.11</v>
      </c>
      <c r="G288" t="str">
        <f t="shared" si="4"/>
        <v>Keep</v>
      </c>
    </row>
    <row r="289" spans="1:7">
      <c r="A289">
        <v>2022</v>
      </c>
      <c r="B289" t="s">
        <v>26</v>
      </c>
      <c r="C289" t="s">
        <v>13</v>
      </c>
      <c r="D289">
        <v>3975</v>
      </c>
      <c r="E289">
        <v>28.4</v>
      </c>
      <c r="F289">
        <v>207.01</v>
      </c>
      <c r="G289" t="str">
        <f t="shared" si="4"/>
        <v>Keep</v>
      </c>
    </row>
    <row r="290" spans="1:7">
      <c r="A290">
        <v>2022</v>
      </c>
      <c r="B290" t="s">
        <v>26</v>
      </c>
      <c r="C290" t="s">
        <v>14</v>
      </c>
      <c r="D290">
        <v>7102</v>
      </c>
      <c r="E290">
        <v>33.39</v>
      </c>
      <c r="F290">
        <v>367.1</v>
      </c>
      <c r="G290" t="str">
        <f t="shared" si="4"/>
        <v>Keep</v>
      </c>
    </row>
    <row r="291" spans="1:7">
      <c r="A291">
        <v>2022</v>
      </c>
      <c r="B291" t="s">
        <v>26</v>
      </c>
      <c r="C291" t="s">
        <v>15</v>
      </c>
      <c r="D291">
        <v>2184</v>
      </c>
      <c r="E291">
        <v>26.01</v>
      </c>
      <c r="F291">
        <v>117.3</v>
      </c>
      <c r="G291" t="str">
        <f t="shared" si="4"/>
        <v>Keep</v>
      </c>
    </row>
    <row r="292" spans="1:7">
      <c r="A292">
        <v>2022</v>
      </c>
      <c r="B292" t="s">
        <v>26</v>
      </c>
      <c r="C292" t="s">
        <v>16</v>
      </c>
      <c r="D292">
        <v>4327</v>
      </c>
      <c r="E292">
        <v>37.91</v>
      </c>
      <c r="F292">
        <v>181.81</v>
      </c>
      <c r="G292" t="str">
        <f t="shared" si="4"/>
        <v>Keep</v>
      </c>
    </row>
    <row r="293" spans="1:7">
      <c r="A293">
        <v>2022</v>
      </c>
      <c r="B293" t="s">
        <v>26</v>
      </c>
      <c r="C293" t="s">
        <v>17</v>
      </c>
      <c r="D293">
        <v>4394</v>
      </c>
      <c r="E293">
        <v>17.2</v>
      </c>
      <c r="F293">
        <v>243.47</v>
      </c>
      <c r="G293" t="str">
        <f t="shared" si="4"/>
        <v>Keep</v>
      </c>
    </row>
    <row r="294" spans="1:7">
      <c r="A294">
        <v>2022</v>
      </c>
      <c r="B294" t="s">
        <v>26</v>
      </c>
      <c r="C294" t="s">
        <v>8</v>
      </c>
      <c r="D294">
        <v>9319</v>
      </c>
      <c r="E294">
        <v>37.86</v>
      </c>
      <c r="F294">
        <v>477.67</v>
      </c>
      <c r="G294" t="str">
        <f t="shared" si="4"/>
        <v>Keep</v>
      </c>
    </row>
    <row r="295" spans="1:7">
      <c r="A295">
        <v>2022</v>
      </c>
      <c r="B295" t="s">
        <v>26</v>
      </c>
      <c r="C295" t="s">
        <v>9</v>
      </c>
      <c r="D295">
        <v>2816</v>
      </c>
      <c r="E295">
        <v>26.47</v>
      </c>
      <c r="F295">
        <v>147.29</v>
      </c>
      <c r="G295" t="str">
        <f t="shared" si="4"/>
        <v>Keep</v>
      </c>
    </row>
    <row r="296" spans="1:7">
      <c r="A296">
        <v>2022</v>
      </c>
      <c r="B296" t="s">
        <v>26</v>
      </c>
      <c r="C296" t="s">
        <v>10</v>
      </c>
      <c r="D296">
        <v>6854</v>
      </c>
      <c r="E296">
        <v>44.97</v>
      </c>
      <c r="F296">
        <v>334.88</v>
      </c>
      <c r="G296" t="str">
        <f t="shared" si="4"/>
        <v>Keep</v>
      </c>
    </row>
    <row r="297" spans="1:7">
      <c r="A297">
        <v>2022</v>
      </c>
      <c r="B297" t="s">
        <v>26</v>
      </c>
      <c r="C297" t="s">
        <v>11</v>
      </c>
      <c r="D297">
        <v>7709</v>
      </c>
      <c r="E297">
        <v>30.61</v>
      </c>
      <c r="F297">
        <v>395.64</v>
      </c>
      <c r="G297" t="str">
        <f t="shared" si="4"/>
        <v>Keep</v>
      </c>
    </row>
    <row r="298" spans="1:7">
      <c r="A298">
        <v>2022</v>
      </c>
      <c r="B298" t="s">
        <v>26</v>
      </c>
      <c r="C298" t="s">
        <v>12</v>
      </c>
      <c r="D298">
        <v>1569</v>
      </c>
      <c r="E298">
        <v>48.92</v>
      </c>
      <c r="F298">
        <v>96.88</v>
      </c>
      <c r="G298" t="str">
        <f t="shared" si="4"/>
        <v>Keep</v>
      </c>
    </row>
    <row r="299" spans="1:7">
      <c r="A299">
        <v>2022</v>
      </c>
      <c r="B299" t="s">
        <v>26</v>
      </c>
      <c r="C299" t="s">
        <v>13</v>
      </c>
      <c r="D299">
        <v>6442</v>
      </c>
      <c r="E299">
        <v>34.08</v>
      </c>
      <c r="F299">
        <v>324.02</v>
      </c>
      <c r="G299" t="str">
        <f t="shared" si="4"/>
        <v>Keep</v>
      </c>
    </row>
    <row r="300" spans="1:7">
      <c r="A300">
        <v>2022</v>
      </c>
      <c r="B300" t="s">
        <v>26</v>
      </c>
      <c r="C300" t="s">
        <v>14</v>
      </c>
      <c r="D300">
        <v>2895</v>
      </c>
      <c r="E300">
        <v>18.95</v>
      </c>
      <c r="F300">
        <v>199.14</v>
      </c>
      <c r="G300" t="str">
        <f t="shared" si="4"/>
        <v>Keep</v>
      </c>
    </row>
    <row r="301" spans="1:7">
      <c r="A301">
        <v>2022</v>
      </c>
      <c r="B301" t="s">
        <v>26</v>
      </c>
      <c r="C301" t="s">
        <v>15</v>
      </c>
      <c r="D301">
        <v>3733</v>
      </c>
      <c r="E301">
        <v>42.87</v>
      </c>
      <c r="F301">
        <v>130.95</v>
      </c>
      <c r="G301" t="str">
        <f t="shared" si="4"/>
        <v>Keep</v>
      </c>
    </row>
    <row r="302" spans="1:7">
      <c r="A302">
        <v>2022</v>
      </c>
      <c r="B302" t="s">
        <v>26</v>
      </c>
      <c r="C302" t="s">
        <v>16</v>
      </c>
      <c r="D302">
        <v>4863</v>
      </c>
      <c r="E302">
        <v>23.8</v>
      </c>
      <c r="F302">
        <v>291.54</v>
      </c>
      <c r="G302" t="str">
        <f t="shared" si="4"/>
        <v>Keep</v>
      </c>
    </row>
    <row r="303" spans="1:7">
      <c r="A303">
        <v>2022</v>
      </c>
      <c r="B303" t="s">
        <v>26</v>
      </c>
      <c r="C303" t="s">
        <v>17</v>
      </c>
      <c r="D303">
        <v>8455</v>
      </c>
      <c r="E303">
        <v>23.9</v>
      </c>
      <c r="F303">
        <v>470.01</v>
      </c>
      <c r="G303" t="str">
        <f t="shared" si="4"/>
        <v>Keep</v>
      </c>
    </row>
    <row r="304" spans="1:7">
      <c r="A304">
        <v>2022</v>
      </c>
      <c r="B304" t="s">
        <v>26</v>
      </c>
      <c r="C304" t="s">
        <v>8</v>
      </c>
      <c r="D304">
        <v>5014</v>
      </c>
      <c r="E304">
        <v>11.27</v>
      </c>
      <c r="F304">
        <v>305.22</v>
      </c>
      <c r="G304" t="str">
        <f t="shared" si="4"/>
        <v>Keep</v>
      </c>
    </row>
    <row r="305" spans="1:7">
      <c r="A305">
        <v>2022</v>
      </c>
      <c r="B305" t="s">
        <v>26</v>
      </c>
      <c r="C305" t="s">
        <v>9</v>
      </c>
      <c r="D305">
        <v>2686</v>
      </c>
      <c r="E305">
        <v>31.95</v>
      </c>
      <c r="F305">
        <v>105.72</v>
      </c>
      <c r="G305" t="str">
        <f t="shared" si="4"/>
        <v>Keep</v>
      </c>
    </row>
    <row r="306" spans="1:7">
      <c r="A306">
        <v>2022</v>
      </c>
      <c r="B306" t="s">
        <v>26</v>
      </c>
      <c r="C306" t="s">
        <v>10</v>
      </c>
      <c r="D306">
        <v>4009</v>
      </c>
      <c r="E306">
        <v>31.38</v>
      </c>
      <c r="F306">
        <v>233.18</v>
      </c>
      <c r="G306" t="str">
        <f t="shared" si="4"/>
        <v>Keep</v>
      </c>
    </row>
    <row r="307" spans="1:7">
      <c r="A307">
        <v>2022</v>
      </c>
      <c r="B307" t="s">
        <v>26</v>
      </c>
      <c r="C307" t="s">
        <v>11</v>
      </c>
      <c r="D307">
        <v>8806</v>
      </c>
      <c r="E307">
        <v>24.24</v>
      </c>
      <c r="F307">
        <v>460.21</v>
      </c>
      <c r="G307" t="str">
        <f t="shared" si="4"/>
        <v>Keep</v>
      </c>
    </row>
    <row r="308" spans="1:7">
      <c r="A308">
        <v>2022</v>
      </c>
      <c r="B308" t="s">
        <v>27</v>
      </c>
      <c r="C308" t="s">
        <v>12</v>
      </c>
      <c r="D308">
        <v>1154</v>
      </c>
      <c r="E308">
        <v>45.77</v>
      </c>
      <c r="F308">
        <v>2.19</v>
      </c>
      <c r="G308" t="str">
        <f t="shared" si="4"/>
        <v>Keep</v>
      </c>
    </row>
    <row r="309" spans="1:7">
      <c r="A309">
        <v>2022</v>
      </c>
      <c r="B309" t="s">
        <v>27</v>
      </c>
      <c r="C309" t="s">
        <v>13</v>
      </c>
      <c r="D309">
        <v>2409</v>
      </c>
      <c r="E309">
        <v>15.15</v>
      </c>
      <c r="F309">
        <v>178.23</v>
      </c>
      <c r="G309" t="str">
        <f t="shared" si="4"/>
        <v>Keep</v>
      </c>
    </row>
    <row r="310" spans="1:7">
      <c r="A310">
        <v>2022</v>
      </c>
      <c r="B310" t="s">
        <v>27</v>
      </c>
      <c r="C310" t="s">
        <v>14</v>
      </c>
      <c r="D310">
        <v>1784</v>
      </c>
      <c r="E310">
        <v>23.2</v>
      </c>
      <c r="F310">
        <v>140.24</v>
      </c>
      <c r="G310" t="str">
        <f t="shared" si="4"/>
        <v>Keep</v>
      </c>
    </row>
    <row r="311" spans="1:7">
      <c r="A311">
        <v>2022</v>
      </c>
      <c r="B311" t="s">
        <v>27</v>
      </c>
      <c r="C311" t="s">
        <v>15</v>
      </c>
      <c r="D311">
        <v>9096</v>
      </c>
      <c r="E311">
        <v>22.86</v>
      </c>
      <c r="F311">
        <v>439.27</v>
      </c>
      <c r="G311" t="str">
        <f t="shared" si="4"/>
        <v>Keep</v>
      </c>
    </row>
    <row r="312" spans="1:7">
      <c r="A312">
        <v>2022</v>
      </c>
      <c r="B312" t="s">
        <v>27</v>
      </c>
      <c r="C312" t="s">
        <v>16</v>
      </c>
      <c r="D312">
        <v>8560</v>
      </c>
      <c r="E312">
        <v>13.69</v>
      </c>
      <c r="F312">
        <v>465.08</v>
      </c>
      <c r="G312" t="str">
        <f t="shared" si="4"/>
        <v>Keep</v>
      </c>
    </row>
    <row r="313" spans="1:7">
      <c r="A313">
        <v>2022</v>
      </c>
      <c r="B313" t="s">
        <v>27</v>
      </c>
      <c r="C313" t="s">
        <v>17</v>
      </c>
      <c r="D313">
        <v>8343</v>
      </c>
      <c r="E313">
        <v>29.25</v>
      </c>
      <c r="F313">
        <v>459.83</v>
      </c>
      <c r="G313" t="str">
        <f t="shared" si="4"/>
        <v>Keep</v>
      </c>
    </row>
    <row r="314" spans="1:7">
      <c r="A314">
        <v>2022</v>
      </c>
      <c r="B314" t="s">
        <v>27</v>
      </c>
      <c r="C314" t="s">
        <v>8</v>
      </c>
      <c r="D314">
        <v>8206</v>
      </c>
      <c r="E314">
        <v>37.51</v>
      </c>
      <c r="F314">
        <v>439.89</v>
      </c>
      <c r="G314" t="str">
        <f t="shared" si="4"/>
        <v>Keep</v>
      </c>
    </row>
    <row r="315" spans="1:7">
      <c r="A315">
        <v>2022</v>
      </c>
      <c r="B315" t="s">
        <v>27</v>
      </c>
      <c r="C315" t="s">
        <v>9</v>
      </c>
      <c r="D315">
        <v>6596</v>
      </c>
      <c r="E315">
        <v>30.47</v>
      </c>
      <c r="F315">
        <v>359.96</v>
      </c>
      <c r="G315" t="str">
        <f t="shared" si="4"/>
        <v>Keep</v>
      </c>
    </row>
    <row r="316" spans="1:7">
      <c r="A316">
        <v>2022</v>
      </c>
      <c r="B316" t="s">
        <v>27</v>
      </c>
      <c r="C316" t="s">
        <v>10</v>
      </c>
      <c r="D316">
        <v>6801</v>
      </c>
      <c r="E316">
        <v>16.28</v>
      </c>
      <c r="F316">
        <v>317.57</v>
      </c>
      <c r="G316" t="str">
        <f t="shared" si="4"/>
        <v>Keep</v>
      </c>
    </row>
    <row r="317" spans="1:7">
      <c r="A317">
        <v>2022</v>
      </c>
      <c r="B317" t="s">
        <v>27</v>
      </c>
      <c r="C317" t="s">
        <v>11</v>
      </c>
      <c r="D317">
        <v>3806</v>
      </c>
      <c r="E317">
        <v>25.09</v>
      </c>
      <c r="F317">
        <v>224.78</v>
      </c>
      <c r="G317" t="str">
        <f t="shared" si="4"/>
        <v>Keep</v>
      </c>
    </row>
    <row r="318" spans="1:7">
      <c r="A318">
        <v>2022</v>
      </c>
      <c r="B318" t="s">
        <v>27</v>
      </c>
      <c r="C318" t="s">
        <v>12</v>
      </c>
      <c r="D318">
        <v>1537</v>
      </c>
      <c r="E318">
        <v>10.1</v>
      </c>
      <c r="F318">
        <v>110.36</v>
      </c>
      <c r="G318" t="str">
        <f t="shared" si="4"/>
        <v>Keep</v>
      </c>
    </row>
    <row r="319" spans="1:7">
      <c r="A319">
        <v>2022</v>
      </c>
      <c r="B319" t="s">
        <v>27</v>
      </c>
      <c r="C319" t="s">
        <v>13</v>
      </c>
      <c r="D319">
        <v>6986</v>
      </c>
      <c r="E319">
        <v>44.73</v>
      </c>
      <c r="F319">
        <v>365.54</v>
      </c>
      <c r="G319" t="str">
        <f t="shared" si="4"/>
        <v>Keep</v>
      </c>
    </row>
    <row r="320" spans="1:7">
      <c r="A320">
        <v>2022</v>
      </c>
      <c r="B320" t="s">
        <v>27</v>
      </c>
      <c r="C320" t="s">
        <v>14</v>
      </c>
      <c r="D320">
        <v>2841</v>
      </c>
      <c r="E320">
        <v>13.38</v>
      </c>
      <c r="F320">
        <v>181.12</v>
      </c>
      <c r="G320" t="str">
        <f t="shared" si="4"/>
        <v>Keep</v>
      </c>
    </row>
    <row r="321" spans="1:7">
      <c r="A321">
        <v>2022</v>
      </c>
      <c r="B321" t="s">
        <v>27</v>
      </c>
      <c r="C321" t="s">
        <v>15</v>
      </c>
      <c r="D321">
        <v>9716</v>
      </c>
      <c r="E321">
        <v>33.89</v>
      </c>
      <c r="F321">
        <v>494.73</v>
      </c>
      <c r="G321" t="str">
        <f t="shared" si="4"/>
        <v>Keep</v>
      </c>
    </row>
    <row r="322" spans="1:7">
      <c r="A322">
        <v>2022</v>
      </c>
      <c r="B322" t="s">
        <v>27</v>
      </c>
      <c r="C322" t="s">
        <v>16</v>
      </c>
      <c r="D322">
        <v>7971</v>
      </c>
      <c r="E322">
        <v>49.45</v>
      </c>
      <c r="F322">
        <v>402.03</v>
      </c>
      <c r="G322" t="str">
        <f t="shared" si="4"/>
        <v>Keep</v>
      </c>
    </row>
    <row r="323" spans="1:7">
      <c r="A323">
        <v>2022</v>
      </c>
      <c r="B323" t="s">
        <v>27</v>
      </c>
      <c r="C323" t="s">
        <v>17</v>
      </c>
      <c r="D323">
        <v>6625</v>
      </c>
      <c r="E323">
        <v>31.46</v>
      </c>
      <c r="F323">
        <v>340.06</v>
      </c>
      <c r="G323" t="str">
        <f t="shared" si="4"/>
        <v>Keep</v>
      </c>
    </row>
    <row r="324" spans="1:7">
      <c r="A324">
        <v>2022</v>
      </c>
      <c r="B324" t="s">
        <v>28</v>
      </c>
      <c r="C324" t="s">
        <v>8</v>
      </c>
      <c r="D324">
        <v>3950</v>
      </c>
      <c r="E324">
        <v>46.96</v>
      </c>
      <c r="F324">
        <v>190.66</v>
      </c>
      <c r="G324" t="str">
        <f t="shared" si="4"/>
        <v>Keep</v>
      </c>
    </row>
    <row r="325" spans="1:7">
      <c r="A325">
        <v>2022</v>
      </c>
      <c r="B325" t="s">
        <v>28</v>
      </c>
      <c r="C325" t="s">
        <v>9</v>
      </c>
      <c r="D325">
        <v>8992</v>
      </c>
      <c r="E325">
        <v>19.44</v>
      </c>
      <c r="F325">
        <v>465.16</v>
      </c>
      <c r="G325" t="str">
        <f t="shared" ref="G325:G354" si="5">IF(OR(F325&lt;=$J$7,F325&gt;=$J$8),"Outlier","Keep")</f>
        <v>Keep</v>
      </c>
    </row>
    <row r="326" spans="1:7">
      <c r="A326">
        <v>2022</v>
      </c>
      <c r="B326" t="s">
        <v>28</v>
      </c>
      <c r="C326" t="s">
        <v>10</v>
      </c>
      <c r="D326">
        <v>5780</v>
      </c>
      <c r="E326">
        <v>40.4</v>
      </c>
      <c r="F326">
        <v>258.41</v>
      </c>
      <c r="G326" t="str">
        <f t="shared" si="5"/>
        <v>Keep</v>
      </c>
    </row>
    <row r="327" spans="1:7">
      <c r="A327">
        <v>2022</v>
      </c>
      <c r="B327" t="s">
        <v>28</v>
      </c>
      <c r="C327" t="s">
        <v>11</v>
      </c>
      <c r="D327">
        <v>3368</v>
      </c>
      <c r="E327">
        <v>31.25</v>
      </c>
      <c r="F327">
        <v>192.26</v>
      </c>
      <c r="G327" t="str">
        <f t="shared" si="5"/>
        <v>Keep</v>
      </c>
    </row>
    <row r="328" spans="1:7">
      <c r="A328">
        <v>2022</v>
      </c>
      <c r="B328" t="s">
        <v>28</v>
      </c>
      <c r="C328" t="s">
        <v>12</v>
      </c>
      <c r="D328">
        <v>7655</v>
      </c>
      <c r="E328">
        <v>38.82</v>
      </c>
      <c r="F328">
        <v>370.04</v>
      </c>
      <c r="G328" t="str">
        <f t="shared" si="5"/>
        <v>Keep</v>
      </c>
    </row>
    <row r="329" spans="1:7">
      <c r="A329">
        <v>2022</v>
      </c>
      <c r="B329" t="s">
        <v>28</v>
      </c>
      <c r="C329" t="s">
        <v>13</v>
      </c>
      <c r="D329">
        <v>9173</v>
      </c>
      <c r="E329">
        <v>12.49</v>
      </c>
      <c r="F329">
        <v>489.64</v>
      </c>
      <c r="G329" t="str">
        <f t="shared" si="5"/>
        <v>Keep</v>
      </c>
    </row>
    <row r="330" spans="1:7">
      <c r="A330">
        <v>2022</v>
      </c>
      <c r="B330" t="s">
        <v>28</v>
      </c>
      <c r="C330" t="s">
        <v>14</v>
      </c>
      <c r="D330">
        <v>5495</v>
      </c>
      <c r="E330">
        <v>15.91</v>
      </c>
      <c r="F330">
        <v>311.4</v>
      </c>
      <c r="G330" t="str">
        <f t="shared" si="5"/>
        <v>Keep</v>
      </c>
    </row>
    <row r="331" spans="1:7">
      <c r="A331">
        <v>2022</v>
      </c>
      <c r="B331" t="s">
        <v>28</v>
      </c>
      <c r="C331" t="s">
        <v>15</v>
      </c>
      <c r="D331">
        <v>7002</v>
      </c>
      <c r="E331">
        <v>15.32</v>
      </c>
      <c r="F331">
        <v>340.01</v>
      </c>
      <c r="G331" t="str">
        <f t="shared" si="5"/>
        <v>Keep</v>
      </c>
    </row>
    <row r="332" spans="1:7">
      <c r="A332">
        <v>2022</v>
      </c>
      <c r="B332" t="s">
        <v>28</v>
      </c>
      <c r="C332" t="s">
        <v>16</v>
      </c>
      <c r="D332">
        <v>7614</v>
      </c>
      <c r="E332">
        <v>37.49</v>
      </c>
      <c r="F332">
        <v>348.49</v>
      </c>
      <c r="G332" t="str">
        <f t="shared" si="5"/>
        <v>Keep</v>
      </c>
    </row>
    <row r="333" spans="1:7">
      <c r="A333">
        <v>2022</v>
      </c>
      <c r="B333" t="s">
        <v>28</v>
      </c>
      <c r="C333" t="s">
        <v>17</v>
      </c>
      <c r="D333">
        <v>6919</v>
      </c>
      <c r="E333">
        <v>43.78</v>
      </c>
      <c r="F333">
        <v>337.42</v>
      </c>
      <c r="G333" t="str">
        <f t="shared" si="5"/>
        <v>Keep</v>
      </c>
    </row>
    <row r="334" spans="1:7">
      <c r="A334">
        <v>2022</v>
      </c>
      <c r="B334" t="s">
        <v>28</v>
      </c>
      <c r="C334" t="s">
        <v>8</v>
      </c>
      <c r="D334">
        <v>1853</v>
      </c>
      <c r="E334">
        <v>39.98</v>
      </c>
      <c r="F334">
        <v>103.76</v>
      </c>
      <c r="G334" t="str">
        <f t="shared" si="5"/>
        <v>Keep</v>
      </c>
    </row>
    <row r="335" spans="1:7">
      <c r="A335">
        <v>2022</v>
      </c>
      <c r="B335" t="s">
        <v>28</v>
      </c>
      <c r="C335" t="s">
        <v>9</v>
      </c>
      <c r="D335">
        <v>5146</v>
      </c>
      <c r="E335">
        <v>11.22</v>
      </c>
      <c r="F335">
        <v>308.72</v>
      </c>
      <c r="G335" t="str">
        <f t="shared" si="5"/>
        <v>Keep</v>
      </c>
    </row>
    <row r="336" spans="1:7">
      <c r="A336">
        <v>2022</v>
      </c>
      <c r="B336" t="s">
        <v>28</v>
      </c>
      <c r="C336" t="s">
        <v>10</v>
      </c>
      <c r="D336">
        <v>4769</v>
      </c>
      <c r="E336">
        <v>44.69</v>
      </c>
      <c r="F336">
        <v>203</v>
      </c>
      <c r="G336" t="str">
        <f t="shared" si="5"/>
        <v>Keep</v>
      </c>
    </row>
    <row r="337" spans="1:7">
      <c r="A337">
        <v>2022</v>
      </c>
      <c r="B337" t="s">
        <v>28</v>
      </c>
      <c r="C337" t="s">
        <v>11</v>
      </c>
      <c r="D337">
        <v>1574</v>
      </c>
      <c r="E337">
        <v>24.17</v>
      </c>
      <c r="F337">
        <v>112.43</v>
      </c>
      <c r="G337" t="str">
        <f t="shared" si="5"/>
        <v>Keep</v>
      </c>
    </row>
    <row r="338" spans="1:7">
      <c r="A338">
        <v>2022</v>
      </c>
      <c r="B338" t="s">
        <v>28</v>
      </c>
      <c r="C338" t="s">
        <v>12</v>
      </c>
      <c r="D338">
        <v>2148</v>
      </c>
      <c r="E338">
        <v>25.89</v>
      </c>
      <c r="F338">
        <v>121.43</v>
      </c>
      <c r="G338" t="str">
        <f t="shared" si="5"/>
        <v>Keep</v>
      </c>
    </row>
    <row r="339" spans="1:7">
      <c r="A339">
        <v>2022</v>
      </c>
      <c r="B339" t="s">
        <v>28</v>
      </c>
      <c r="C339" t="s">
        <v>13</v>
      </c>
      <c r="D339">
        <v>7293</v>
      </c>
      <c r="E339">
        <v>14.19</v>
      </c>
      <c r="F339">
        <v>379.95</v>
      </c>
      <c r="G339" t="str">
        <f t="shared" si="5"/>
        <v>Keep</v>
      </c>
    </row>
    <row r="340" spans="1:7">
      <c r="A340">
        <v>2022</v>
      </c>
      <c r="B340" t="s">
        <v>28</v>
      </c>
      <c r="C340" t="s">
        <v>14</v>
      </c>
      <c r="D340">
        <v>7457</v>
      </c>
      <c r="E340">
        <v>39.5</v>
      </c>
      <c r="F340">
        <v>362.48</v>
      </c>
      <c r="G340" t="str">
        <f t="shared" si="5"/>
        <v>Keep</v>
      </c>
    </row>
    <row r="341" spans="1:7">
      <c r="A341">
        <v>2022</v>
      </c>
      <c r="B341" t="s">
        <v>28</v>
      </c>
      <c r="C341" t="s">
        <v>15</v>
      </c>
      <c r="D341">
        <v>8509</v>
      </c>
      <c r="E341">
        <v>17.29</v>
      </c>
      <c r="F341">
        <v>470.74</v>
      </c>
      <c r="G341" t="str">
        <f t="shared" si="5"/>
        <v>Keep</v>
      </c>
    </row>
    <row r="342" spans="1:7">
      <c r="A342">
        <v>2022</v>
      </c>
      <c r="B342" t="s">
        <v>28</v>
      </c>
      <c r="C342" t="s">
        <v>16</v>
      </c>
      <c r="D342">
        <v>5777</v>
      </c>
      <c r="E342">
        <v>32.56</v>
      </c>
      <c r="F342">
        <v>305.26</v>
      </c>
      <c r="G342" t="str">
        <f t="shared" si="5"/>
        <v>Keep</v>
      </c>
    </row>
    <row r="343" spans="1:7">
      <c r="A343">
        <v>2022</v>
      </c>
      <c r="B343" t="s">
        <v>28</v>
      </c>
      <c r="C343" t="s">
        <v>17</v>
      </c>
      <c r="D343">
        <v>4854</v>
      </c>
      <c r="E343">
        <v>43.63</v>
      </c>
      <c r="F343">
        <v>241.35</v>
      </c>
      <c r="G343" t="str">
        <f t="shared" si="5"/>
        <v>Keep</v>
      </c>
    </row>
    <row r="344" spans="1:7">
      <c r="A344">
        <v>2022</v>
      </c>
      <c r="B344" t="s">
        <v>28</v>
      </c>
      <c r="C344" t="s">
        <v>8</v>
      </c>
      <c r="D344">
        <v>3491</v>
      </c>
      <c r="E344">
        <v>13.57</v>
      </c>
      <c r="F344">
        <v>213.14</v>
      </c>
      <c r="G344" t="str">
        <f t="shared" si="5"/>
        <v>Keep</v>
      </c>
    </row>
    <row r="345" spans="1:7">
      <c r="A345">
        <v>2022</v>
      </c>
      <c r="B345" t="s">
        <v>28</v>
      </c>
      <c r="C345" t="s">
        <v>9</v>
      </c>
      <c r="D345">
        <v>4124</v>
      </c>
      <c r="E345">
        <v>31.41</v>
      </c>
      <c r="F345">
        <v>237.07</v>
      </c>
      <c r="G345" t="str">
        <f t="shared" si="5"/>
        <v>Keep</v>
      </c>
    </row>
    <row r="346" spans="1:7">
      <c r="A346">
        <v>2022</v>
      </c>
      <c r="B346" t="s">
        <v>28</v>
      </c>
      <c r="C346" t="s">
        <v>10</v>
      </c>
      <c r="D346">
        <v>6691</v>
      </c>
      <c r="E346">
        <v>19.33</v>
      </c>
      <c r="F346">
        <v>359.41</v>
      </c>
      <c r="G346" t="str">
        <f t="shared" si="5"/>
        <v>Keep</v>
      </c>
    </row>
    <row r="347" spans="1:7">
      <c r="A347">
        <v>2022</v>
      </c>
      <c r="B347" t="s">
        <v>28</v>
      </c>
      <c r="C347" t="s">
        <v>11</v>
      </c>
      <c r="D347">
        <v>4051</v>
      </c>
      <c r="E347">
        <v>23.72</v>
      </c>
      <c r="F347">
        <v>225.18</v>
      </c>
      <c r="G347" t="str">
        <f t="shared" si="5"/>
        <v>Keep</v>
      </c>
    </row>
    <row r="348" spans="1:7">
      <c r="A348">
        <v>2022</v>
      </c>
      <c r="B348" t="s">
        <v>28</v>
      </c>
      <c r="C348" t="s">
        <v>12</v>
      </c>
      <c r="D348">
        <v>1004</v>
      </c>
      <c r="E348">
        <v>28.96</v>
      </c>
      <c r="F348">
        <v>88.21</v>
      </c>
      <c r="G348" t="str">
        <f t="shared" si="5"/>
        <v>Keep</v>
      </c>
    </row>
    <row r="349" spans="1:7">
      <c r="A349">
        <v>2022</v>
      </c>
      <c r="B349" t="s">
        <v>28</v>
      </c>
      <c r="C349" t="s">
        <v>13</v>
      </c>
      <c r="D349">
        <v>6222</v>
      </c>
      <c r="E349">
        <v>24.2</v>
      </c>
      <c r="F349">
        <v>325.42</v>
      </c>
      <c r="G349" t="str">
        <f t="shared" si="5"/>
        <v>Keep</v>
      </c>
    </row>
    <row r="350" spans="1:7">
      <c r="A350">
        <v>2022</v>
      </c>
      <c r="B350" t="s">
        <v>28</v>
      </c>
      <c r="C350" t="s">
        <v>14</v>
      </c>
      <c r="D350">
        <v>6315</v>
      </c>
      <c r="E350">
        <v>35.95</v>
      </c>
      <c r="F350">
        <v>334.97</v>
      </c>
      <c r="G350" t="str">
        <f t="shared" si="5"/>
        <v>Keep</v>
      </c>
    </row>
    <row r="351" spans="1:7">
      <c r="A351">
        <v>2022</v>
      </c>
      <c r="B351" t="s">
        <v>28</v>
      </c>
      <c r="C351" t="s">
        <v>15</v>
      </c>
      <c r="D351">
        <v>5869</v>
      </c>
      <c r="E351">
        <v>29.18</v>
      </c>
      <c r="F351">
        <v>298.36</v>
      </c>
      <c r="G351" t="str">
        <f t="shared" si="5"/>
        <v>Keep</v>
      </c>
    </row>
    <row r="352" spans="1:7">
      <c r="A352">
        <v>2022</v>
      </c>
      <c r="B352" t="s">
        <v>28</v>
      </c>
      <c r="C352" t="s">
        <v>16</v>
      </c>
      <c r="D352">
        <v>1876</v>
      </c>
      <c r="E352">
        <v>33.37</v>
      </c>
      <c r="F352">
        <v>95.44</v>
      </c>
      <c r="G352" t="str">
        <f t="shared" si="5"/>
        <v>Keep</v>
      </c>
    </row>
    <row r="353" spans="1:7">
      <c r="A353">
        <v>2022</v>
      </c>
      <c r="B353" t="s">
        <v>28</v>
      </c>
      <c r="C353" t="s">
        <v>17</v>
      </c>
      <c r="D353">
        <v>8027</v>
      </c>
      <c r="E353">
        <v>39.47</v>
      </c>
      <c r="F353">
        <v>401.9</v>
      </c>
      <c r="G353" t="str">
        <f t="shared" si="5"/>
        <v>Keep</v>
      </c>
    </row>
    <row r="354" spans="1:7">
      <c r="A354">
        <v>2022</v>
      </c>
      <c r="B354" t="s">
        <v>28</v>
      </c>
      <c r="C354" t="s">
        <v>8</v>
      </c>
      <c r="D354">
        <v>5142</v>
      </c>
      <c r="E354">
        <v>32.31</v>
      </c>
      <c r="F354">
        <v>278.63</v>
      </c>
      <c r="G354" t="str">
        <f t="shared" si="5"/>
        <v>Keep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9"/>
  <sheetViews>
    <sheetView workbookViewId="0">
      <selection activeCell="H12" sqref="H12"/>
    </sheetView>
  </sheetViews>
  <sheetFormatPr defaultColWidth="9" defaultRowHeight="14.5"/>
  <cols>
    <col min="4" max="4" width="26.4545454545455" customWidth="1"/>
    <col min="5" max="5" width="18.8181818181818" customWidth="1"/>
    <col min="6" max="6" width="14.5454545454545" customWidth="1"/>
    <col min="8" max="8" width="17.5454545454545" customWidth="1"/>
    <col min="9" max="9" width="17" customWidth="1"/>
    <col min="10" max="10" width="11.8181818181818"/>
  </cols>
  <sheetData>
    <row r="1" customFormat="1" spans="1:10">
      <c r="A1" t="s">
        <v>34</v>
      </c>
    </row>
    <row r="2" customFormat="1" spans="1:10">
      <c r="H2" s="124" t="s">
        <v>35</v>
      </c>
      <c r="I2" s="124" t="s">
        <v>36</v>
      </c>
      <c r="J2" s="124" t="s">
        <v>37</v>
      </c>
    </row>
    <row r="3" customFormat="1" spans="1:10">
      <c r="A3" s="122" t="s">
        <v>1</v>
      </c>
      <c r="B3" s="122" t="s">
        <v>2</v>
      </c>
      <c r="C3" s="122" t="s">
        <v>3</v>
      </c>
      <c r="D3" s="122" t="s">
        <v>4</v>
      </c>
      <c r="E3" s="122" t="s">
        <v>5</v>
      </c>
      <c r="F3" s="122" t="s">
        <v>6</v>
      </c>
      <c r="H3" s="125" cm="1">
        <f t="array" ref="H3:J3">LINEST(F4:F349,D4:E349,TRUE,FALSE)</f>
        <v>-1.15457085183347</v>
      </c>
      <c r="I3" s="125">
        <v>0.0495087753238071</v>
      </c>
      <c r="J3" s="125">
        <v>52.4323372732339</v>
      </c>
    </row>
    <row r="4" customFormat="1" spans="1:10">
      <c r="A4">
        <v>2022</v>
      </c>
      <c r="B4" t="s">
        <v>7</v>
      </c>
      <c r="C4" t="s">
        <v>13</v>
      </c>
      <c r="D4">
        <v>7265</v>
      </c>
      <c r="E4">
        <v>11.64</v>
      </c>
      <c r="F4">
        <v>416.07</v>
      </c>
      <c r="H4" s="131" t="s">
        <v>38</v>
      </c>
      <c r="I4" s="132"/>
      <c r="J4" s="133"/>
    </row>
    <row r="5" customFormat="1" spans="1:10">
      <c r="A5">
        <v>2022</v>
      </c>
      <c r="B5" t="s">
        <v>7</v>
      </c>
      <c r="C5" t="s">
        <v>14</v>
      </c>
      <c r="D5">
        <v>1466</v>
      </c>
      <c r="E5">
        <v>25.95</v>
      </c>
      <c r="F5">
        <v>91.93</v>
      </c>
    </row>
    <row r="6" customFormat="1" spans="1:10">
      <c r="A6">
        <v>2022</v>
      </c>
      <c r="B6" t="s">
        <v>7</v>
      </c>
      <c r="C6" t="s">
        <v>15</v>
      </c>
      <c r="D6">
        <v>5426</v>
      </c>
      <c r="E6">
        <v>27.34</v>
      </c>
      <c r="F6">
        <v>255.73</v>
      </c>
    </row>
    <row r="7" customFormat="1" spans="1:10">
      <c r="A7">
        <v>2022</v>
      </c>
      <c r="B7" t="s">
        <v>7</v>
      </c>
      <c r="C7" t="s">
        <v>16</v>
      </c>
      <c r="D7">
        <v>6578</v>
      </c>
      <c r="E7">
        <v>39.76</v>
      </c>
      <c r="F7">
        <v>341.12</v>
      </c>
    </row>
    <row r="8" customFormat="1" spans="1:10">
      <c r="A8">
        <v>2022</v>
      </c>
      <c r="B8" t="s">
        <v>7</v>
      </c>
      <c r="C8" t="s">
        <v>17</v>
      </c>
      <c r="D8">
        <v>9322</v>
      </c>
      <c r="E8">
        <v>20.03</v>
      </c>
      <c r="F8">
        <v>488.17</v>
      </c>
    </row>
    <row r="9" customFormat="1" spans="1:10">
      <c r="A9">
        <v>2022</v>
      </c>
      <c r="B9" t="s">
        <v>7</v>
      </c>
      <c r="C9" t="s">
        <v>8</v>
      </c>
      <c r="D9">
        <v>2685</v>
      </c>
      <c r="E9">
        <v>17.37</v>
      </c>
      <c r="F9">
        <v>159.28</v>
      </c>
    </row>
    <row r="10" customFormat="1" spans="1:10">
      <c r="A10">
        <v>2022</v>
      </c>
      <c r="B10" t="s">
        <v>7</v>
      </c>
      <c r="C10" t="s">
        <v>9</v>
      </c>
      <c r="D10">
        <v>1769</v>
      </c>
      <c r="E10">
        <v>13.23</v>
      </c>
      <c r="F10">
        <v>77.01</v>
      </c>
      <c r="I10" s="72"/>
    </row>
    <row r="11" customFormat="1" spans="1:10">
      <c r="A11">
        <v>2022</v>
      </c>
      <c r="B11" t="s">
        <v>7</v>
      </c>
      <c r="C11" t="s">
        <v>10</v>
      </c>
      <c r="D11">
        <v>7949</v>
      </c>
      <c r="E11">
        <v>27.13</v>
      </c>
      <c r="F11">
        <v>430.84</v>
      </c>
    </row>
    <row r="12" customFormat="1" spans="1:10">
      <c r="A12">
        <v>2022</v>
      </c>
      <c r="B12" t="s">
        <v>7</v>
      </c>
      <c r="C12" t="s">
        <v>11</v>
      </c>
      <c r="D12">
        <v>3433</v>
      </c>
      <c r="E12">
        <v>37.54</v>
      </c>
      <c r="F12">
        <v>179.51</v>
      </c>
    </row>
    <row r="13" customFormat="1" spans="1:10">
      <c r="A13">
        <v>2022</v>
      </c>
      <c r="B13" t="s">
        <v>7</v>
      </c>
      <c r="C13" t="s">
        <v>12</v>
      </c>
      <c r="D13">
        <v>6311</v>
      </c>
      <c r="E13">
        <v>12.33</v>
      </c>
      <c r="F13">
        <v>386.66</v>
      </c>
    </row>
    <row r="14" customFormat="1" spans="1:10">
      <c r="A14">
        <v>2022</v>
      </c>
      <c r="B14" t="s">
        <v>7</v>
      </c>
      <c r="C14" t="s">
        <v>13</v>
      </c>
      <c r="D14">
        <v>6051</v>
      </c>
      <c r="E14">
        <v>46.61</v>
      </c>
      <c r="F14">
        <v>295.13</v>
      </c>
    </row>
    <row r="15" customFormat="1" spans="1:10">
      <c r="A15">
        <v>2022</v>
      </c>
      <c r="B15" t="s">
        <v>7</v>
      </c>
      <c r="C15" t="s">
        <v>14</v>
      </c>
      <c r="D15">
        <v>7420</v>
      </c>
      <c r="E15">
        <v>27.69</v>
      </c>
      <c r="F15">
        <v>399.09</v>
      </c>
    </row>
    <row r="16" customFormat="1" spans="1:10">
      <c r="A16">
        <v>2022</v>
      </c>
      <c r="B16" t="s">
        <v>7</v>
      </c>
      <c r="C16" t="s">
        <v>15</v>
      </c>
      <c r="D16">
        <v>2184</v>
      </c>
      <c r="E16">
        <v>19.59</v>
      </c>
      <c r="F16">
        <v>152.33</v>
      </c>
    </row>
    <row r="17" customFormat="1" spans="1:6">
      <c r="A17">
        <v>2022</v>
      </c>
      <c r="B17" t="s">
        <v>7</v>
      </c>
      <c r="C17" t="s">
        <v>16</v>
      </c>
      <c r="D17">
        <v>5555</v>
      </c>
      <c r="E17">
        <v>13.75</v>
      </c>
      <c r="F17">
        <v>276.32</v>
      </c>
    </row>
    <row r="18" customFormat="1" spans="1:6">
      <c r="A18">
        <v>2022</v>
      </c>
      <c r="B18" t="s">
        <v>7</v>
      </c>
      <c r="C18" t="s">
        <v>17</v>
      </c>
      <c r="D18">
        <v>4385</v>
      </c>
      <c r="E18">
        <v>17.31</v>
      </c>
      <c r="F18">
        <v>300.81</v>
      </c>
    </row>
    <row r="19" customFormat="1" spans="1:6">
      <c r="A19">
        <v>2022</v>
      </c>
      <c r="B19" t="s">
        <v>7</v>
      </c>
      <c r="C19" t="s">
        <v>8</v>
      </c>
      <c r="D19">
        <v>7396</v>
      </c>
      <c r="E19">
        <v>47.38</v>
      </c>
      <c r="F19">
        <v>354.32</v>
      </c>
    </row>
    <row r="20" customFormat="1" spans="1:6">
      <c r="A20">
        <v>2022</v>
      </c>
      <c r="B20" t="s">
        <v>7</v>
      </c>
      <c r="C20" t="s">
        <v>9</v>
      </c>
      <c r="D20">
        <v>9666</v>
      </c>
      <c r="E20">
        <v>35.53</v>
      </c>
      <c r="F20">
        <v>500.55</v>
      </c>
    </row>
    <row r="21" customFormat="1" spans="1:6">
      <c r="A21">
        <v>2022</v>
      </c>
      <c r="B21" t="s">
        <v>7</v>
      </c>
      <c r="C21" t="s">
        <v>10</v>
      </c>
      <c r="D21">
        <v>3558</v>
      </c>
      <c r="E21">
        <v>30.67</v>
      </c>
      <c r="F21">
        <v>203.91</v>
      </c>
    </row>
    <row r="22" customFormat="1" spans="1:6">
      <c r="A22">
        <v>2022</v>
      </c>
      <c r="B22" t="s">
        <v>7</v>
      </c>
      <c r="C22" t="s">
        <v>11</v>
      </c>
      <c r="D22">
        <v>8849</v>
      </c>
      <c r="E22">
        <v>36.28</v>
      </c>
      <c r="F22">
        <v>432.61</v>
      </c>
    </row>
    <row r="23" customFormat="1" spans="1:6">
      <c r="A23">
        <v>2022</v>
      </c>
      <c r="B23" t="s">
        <v>7</v>
      </c>
      <c r="C23" t="s">
        <v>12</v>
      </c>
      <c r="D23">
        <v>3047</v>
      </c>
      <c r="E23">
        <v>27.43</v>
      </c>
      <c r="F23">
        <v>206.38</v>
      </c>
    </row>
    <row r="24" customFormat="1" spans="1:6">
      <c r="A24">
        <v>2022</v>
      </c>
      <c r="B24" t="s">
        <v>7</v>
      </c>
      <c r="C24" t="s">
        <v>13</v>
      </c>
      <c r="D24">
        <v>3747</v>
      </c>
      <c r="E24">
        <v>39.2</v>
      </c>
      <c r="F24">
        <v>195.63</v>
      </c>
    </row>
    <row r="25" customFormat="1" spans="1:6">
      <c r="A25">
        <v>2022</v>
      </c>
      <c r="B25" t="s">
        <v>7</v>
      </c>
      <c r="C25" t="s">
        <v>14</v>
      </c>
      <c r="D25">
        <v>1189</v>
      </c>
      <c r="E25">
        <v>11.91</v>
      </c>
      <c r="F25">
        <v>90.89</v>
      </c>
    </row>
    <row r="26" customFormat="1" spans="1:6">
      <c r="A26">
        <v>2022</v>
      </c>
      <c r="B26" t="s">
        <v>7</v>
      </c>
      <c r="C26" t="s">
        <v>15</v>
      </c>
      <c r="D26">
        <v>3734</v>
      </c>
      <c r="E26">
        <v>32.64</v>
      </c>
      <c r="F26">
        <v>200.3</v>
      </c>
    </row>
    <row r="27" customFormat="1" spans="1:6">
      <c r="A27">
        <v>2022</v>
      </c>
      <c r="B27" t="s">
        <v>7</v>
      </c>
      <c r="C27" t="s">
        <v>16</v>
      </c>
      <c r="D27">
        <v>4005</v>
      </c>
      <c r="E27">
        <v>16.35</v>
      </c>
      <c r="F27">
        <v>245.92</v>
      </c>
    </row>
    <row r="28" customFormat="1" spans="1:6">
      <c r="A28">
        <v>2022</v>
      </c>
      <c r="B28" t="s">
        <v>7</v>
      </c>
      <c r="C28" t="s">
        <v>17</v>
      </c>
      <c r="D28">
        <v>5658</v>
      </c>
      <c r="E28">
        <v>14.81</v>
      </c>
      <c r="F28">
        <v>315.35</v>
      </c>
    </row>
    <row r="29" customFormat="1" spans="1:6">
      <c r="A29">
        <v>2022</v>
      </c>
      <c r="B29" t="s">
        <v>7</v>
      </c>
      <c r="C29" t="s">
        <v>8</v>
      </c>
      <c r="D29">
        <v>2899</v>
      </c>
      <c r="E29">
        <v>23.68</v>
      </c>
      <c r="F29">
        <v>184.18</v>
      </c>
    </row>
    <row r="30" customFormat="1" spans="1:6">
      <c r="A30">
        <v>2022</v>
      </c>
      <c r="B30" t="s">
        <v>18</v>
      </c>
      <c r="C30" t="s">
        <v>9</v>
      </c>
      <c r="D30">
        <v>8734</v>
      </c>
      <c r="E30">
        <v>13.67</v>
      </c>
      <c r="F30">
        <v>436.6</v>
      </c>
    </row>
    <row r="31" customFormat="1" spans="1:6">
      <c r="A31">
        <v>2022</v>
      </c>
      <c r="B31" t="s">
        <v>18</v>
      </c>
      <c r="C31" t="s">
        <v>10</v>
      </c>
      <c r="D31">
        <v>2267</v>
      </c>
      <c r="E31">
        <v>13.77</v>
      </c>
      <c r="F31">
        <v>131.87</v>
      </c>
    </row>
    <row r="32" customFormat="1" spans="1:6">
      <c r="A32">
        <v>2022</v>
      </c>
      <c r="B32" t="s">
        <v>18</v>
      </c>
      <c r="C32" t="s">
        <v>11</v>
      </c>
      <c r="D32">
        <v>2528</v>
      </c>
      <c r="E32">
        <v>22.46</v>
      </c>
      <c r="F32">
        <v>106.68</v>
      </c>
    </row>
    <row r="33" customFormat="1" spans="1:6">
      <c r="A33">
        <v>2022</v>
      </c>
      <c r="B33" t="s">
        <v>18</v>
      </c>
      <c r="C33" t="s">
        <v>12</v>
      </c>
      <c r="D33">
        <v>4556</v>
      </c>
      <c r="E33">
        <v>49.18</v>
      </c>
      <c r="F33">
        <v>258.72</v>
      </c>
    </row>
    <row r="34" customFormat="1" spans="1:6">
      <c r="A34">
        <v>2022</v>
      </c>
      <c r="B34" t="s">
        <v>18</v>
      </c>
      <c r="C34" t="s">
        <v>13</v>
      </c>
      <c r="D34">
        <v>4890</v>
      </c>
      <c r="E34">
        <v>17.01</v>
      </c>
      <c r="F34">
        <v>313.76</v>
      </c>
    </row>
    <row r="35" customFormat="1" spans="1:6">
      <c r="A35">
        <v>2022</v>
      </c>
      <c r="B35" t="s">
        <v>18</v>
      </c>
      <c r="C35" t="s">
        <v>14</v>
      </c>
      <c r="D35">
        <v>9838</v>
      </c>
      <c r="E35">
        <v>10.69</v>
      </c>
      <c r="F35">
        <v>541.61</v>
      </c>
    </row>
    <row r="36" customFormat="1" spans="1:6">
      <c r="A36">
        <v>2022</v>
      </c>
      <c r="B36" t="s">
        <v>18</v>
      </c>
      <c r="C36" t="s">
        <v>15</v>
      </c>
      <c r="D36">
        <v>6393</v>
      </c>
      <c r="E36">
        <v>40.53</v>
      </c>
      <c r="F36">
        <v>300.76</v>
      </c>
    </row>
    <row r="37" customFormat="1" spans="1:6">
      <c r="A37">
        <v>2022</v>
      </c>
      <c r="B37" t="s">
        <v>18</v>
      </c>
      <c r="C37" t="s">
        <v>16</v>
      </c>
      <c r="D37">
        <v>9792</v>
      </c>
      <c r="E37">
        <v>42.28</v>
      </c>
      <c r="F37">
        <v>536.67</v>
      </c>
    </row>
    <row r="38" customFormat="1" spans="1:6">
      <c r="A38">
        <v>2022</v>
      </c>
      <c r="B38" t="s">
        <v>18</v>
      </c>
      <c r="C38" t="s">
        <v>17</v>
      </c>
      <c r="D38">
        <v>9433</v>
      </c>
      <c r="E38">
        <v>23.85</v>
      </c>
      <c r="F38">
        <v>480.94</v>
      </c>
    </row>
    <row r="39" customFormat="1" spans="1:6">
      <c r="A39">
        <v>2022</v>
      </c>
      <c r="B39" t="s">
        <v>18</v>
      </c>
      <c r="C39" t="s">
        <v>8</v>
      </c>
      <c r="D39">
        <v>8513</v>
      </c>
      <c r="E39">
        <v>28.59</v>
      </c>
      <c r="F39">
        <v>437.08</v>
      </c>
    </row>
    <row r="40" customFormat="1" spans="1:6">
      <c r="A40">
        <v>2022</v>
      </c>
      <c r="B40" t="s">
        <v>18</v>
      </c>
      <c r="C40" t="s">
        <v>9</v>
      </c>
      <c r="D40">
        <v>3612</v>
      </c>
      <c r="E40">
        <v>35.99</v>
      </c>
      <c r="F40">
        <v>190.6</v>
      </c>
    </row>
    <row r="41" customFormat="1" spans="1:6">
      <c r="A41">
        <v>2022</v>
      </c>
      <c r="B41" t="s">
        <v>18</v>
      </c>
      <c r="C41" t="s">
        <v>10</v>
      </c>
      <c r="D41">
        <v>8041</v>
      </c>
      <c r="E41">
        <v>11.92</v>
      </c>
      <c r="F41">
        <v>446.77</v>
      </c>
    </row>
    <row r="42" customFormat="1" spans="1:6">
      <c r="A42">
        <v>2022</v>
      </c>
      <c r="B42" t="s">
        <v>18</v>
      </c>
      <c r="C42" t="s">
        <v>11</v>
      </c>
      <c r="D42">
        <v>7235</v>
      </c>
      <c r="E42">
        <v>47.97</v>
      </c>
      <c r="F42">
        <v>367.07</v>
      </c>
    </row>
    <row r="43" customFormat="1" spans="1:6">
      <c r="A43">
        <v>2022</v>
      </c>
      <c r="B43" t="s">
        <v>18</v>
      </c>
      <c r="C43" t="s">
        <v>12</v>
      </c>
      <c r="D43">
        <v>6486</v>
      </c>
      <c r="E43">
        <v>45.47</v>
      </c>
      <c r="F43">
        <v>333.42</v>
      </c>
    </row>
    <row r="44" customFormat="1" spans="1:6">
      <c r="A44">
        <v>2022</v>
      </c>
      <c r="B44" t="s">
        <v>18</v>
      </c>
      <c r="C44" t="s">
        <v>13</v>
      </c>
      <c r="D44">
        <v>8099</v>
      </c>
      <c r="E44">
        <v>20.44</v>
      </c>
      <c r="F44">
        <v>427.54</v>
      </c>
    </row>
    <row r="45" customFormat="1" spans="1:6">
      <c r="A45">
        <v>2022</v>
      </c>
      <c r="B45" t="s">
        <v>18</v>
      </c>
      <c r="C45" t="s">
        <v>14</v>
      </c>
      <c r="D45">
        <v>1775</v>
      </c>
      <c r="E45">
        <v>10.61</v>
      </c>
      <c r="F45">
        <v>139.38</v>
      </c>
    </row>
    <row r="46" customFormat="1" spans="1:6">
      <c r="A46">
        <v>2022</v>
      </c>
      <c r="B46" t="s">
        <v>18</v>
      </c>
      <c r="C46" t="s">
        <v>15</v>
      </c>
      <c r="D46">
        <v>9226</v>
      </c>
      <c r="E46">
        <v>47.34</v>
      </c>
      <c r="F46">
        <v>450.71</v>
      </c>
    </row>
    <row r="47" customFormat="1" spans="1:6">
      <c r="A47">
        <v>2022</v>
      </c>
      <c r="B47" t="s">
        <v>18</v>
      </c>
      <c r="C47" t="s">
        <v>16</v>
      </c>
      <c r="D47">
        <v>4152</v>
      </c>
      <c r="E47">
        <v>30.04</v>
      </c>
      <c r="F47">
        <v>233.14</v>
      </c>
    </row>
    <row r="48" customFormat="1" spans="1:6">
      <c r="A48">
        <v>2022</v>
      </c>
      <c r="B48" t="s">
        <v>18</v>
      </c>
      <c r="C48" t="s">
        <v>17</v>
      </c>
      <c r="D48">
        <v>2585</v>
      </c>
      <c r="E48">
        <v>31.58</v>
      </c>
      <c r="F48">
        <v>151.31</v>
      </c>
    </row>
    <row r="49" customFormat="1" spans="1:6">
      <c r="A49">
        <v>2022</v>
      </c>
      <c r="B49" t="s">
        <v>18</v>
      </c>
      <c r="C49" t="s">
        <v>8</v>
      </c>
      <c r="D49">
        <v>4943</v>
      </c>
      <c r="E49">
        <v>37.36</v>
      </c>
      <c r="F49">
        <v>267.58</v>
      </c>
    </row>
    <row r="50" customFormat="1" spans="1:6">
      <c r="A50">
        <v>2022</v>
      </c>
      <c r="B50" t="s">
        <v>18</v>
      </c>
      <c r="C50" t="s">
        <v>9</v>
      </c>
      <c r="D50">
        <v>8555</v>
      </c>
      <c r="E50">
        <v>34.63</v>
      </c>
      <c r="F50">
        <v>448.95</v>
      </c>
    </row>
    <row r="51" customFormat="1" spans="1:6">
      <c r="A51">
        <v>2022</v>
      </c>
      <c r="B51" t="s">
        <v>18</v>
      </c>
      <c r="C51" t="s">
        <v>10</v>
      </c>
      <c r="D51">
        <v>4073</v>
      </c>
      <c r="E51">
        <v>47.76</v>
      </c>
      <c r="F51">
        <v>187.49</v>
      </c>
    </row>
    <row r="52" customFormat="1" spans="1:6">
      <c r="A52">
        <v>2022</v>
      </c>
      <c r="B52" t="s">
        <v>18</v>
      </c>
      <c r="C52" t="s">
        <v>11</v>
      </c>
      <c r="D52">
        <v>2021</v>
      </c>
      <c r="E52">
        <v>47.77</v>
      </c>
      <c r="F52">
        <v>102.9</v>
      </c>
    </row>
    <row r="53" customFormat="1" spans="1:6">
      <c r="A53">
        <v>2022</v>
      </c>
      <c r="B53" t="s">
        <v>18</v>
      </c>
      <c r="C53" t="s">
        <v>12</v>
      </c>
      <c r="D53">
        <v>4843</v>
      </c>
      <c r="E53">
        <v>44.69</v>
      </c>
      <c r="F53">
        <v>251.59</v>
      </c>
    </row>
    <row r="54" customFormat="1" spans="1:6">
      <c r="A54">
        <v>2022</v>
      </c>
      <c r="B54" t="s">
        <v>18</v>
      </c>
      <c r="C54" t="s">
        <v>13</v>
      </c>
      <c r="D54">
        <v>8989</v>
      </c>
      <c r="E54">
        <v>35.46</v>
      </c>
      <c r="F54">
        <v>431.08</v>
      </c>
    </row>
    <row r="55" customFormat="1" spans="1:6">
      <c r="A55">
        <v>2022</v>
      </c>
      <c r="B55" t="s">
        <v>18</v>
      </c>
      <c r="C55" t="s">
        <v>14</v>
      </c>
      <c r="D55">
        <v>7873</v>
      </c>
      <c r="E55">
        <v>42.04</v>
      </c>
      <c r="F55">
        <v>387.72</v>
      </c>
    </row>
    <row r="56" customFormat="1" spans="1:6">
      <c r="A56">
        <v>2022</v>
      </c>
      <c r="B56" t="s">
        <v>18</v>
      </c>
      <c r="C56" t="s">
        <v>15</v>
      </c>
      <c r="D56">
        <v>6675</v>
      </c>
      <c r="E56">
        <v>37.09</v>
      </c>
      <c r="F56">
        <v>351.41</v>
      </c>
    </row>
    <row r="57" customFormat="1" spans="1:6">
      <c r="A57">
        <v>2022</v>
      </c>
      <c r="B57" t="s">
        <v>18</v>
      </c>
      <c r="C57" t="s">
        <v>16</v>
      </c>
      <c r="D57">
        <v>1161</v>
      </c>
      <c r="E57">
        <v>32.93</v>
      </c>
      <c r="F57">
        <v>102.71</v>
      </c>
    </row>
    <row r="58" customFormat="1" spans="1:6">
      <c r="A58">
        <v>2022</v>
      </c>
      <c r="B58" t="s">
        <v>19</v>
      </c>
      <c r="C58" t="s">
        <v>17</v>
      </c>
      <c r="D58">
        <v>5297</v>
      </c>
      <c r="E58">
        <v>15.14</v>
      </c>
      <c r="F58">
        <v>313.18</v>
      </c>
    </row>
    <row r="59" customFormat="1" spans="1:6">
      <c r="A59">
        <v>2022</v>
      </c>
      <c r="B59" t="s">
        <v>19</v>
      </c>
      <c r="C59" t="s">
        <v>8</v>
      </c>
      <c r="D59">
        <v>1995</v>
      </c>
      <c r="E59">
        <v>42.45</v>
      </c>
      <c r="F59">
        <v>134.26</v>
      </c>
    </row>
    <row r="60" customFormat="1" spans="1:6">
      <c r="A60">
        <v>2022</v>
      </c>
      <c r="B60" t="s">
        <v>19</v>
      </c>
      <c r="C60" t="s">
        <v>9</v>
      </c>
      <c r="D60">
        <v>8629</v>
      </c>
      <c r="E60">
        <v>42.83</v>
      </c>
      <c r="F60">
        <v>422.09</v>
      </c>
    </row>
    <row r="61" customFormat="1" spans="1:6">
      <c r="A61">
        <v>2022</v>
      </c>
      <c r="B61" t="s">
        <v>19</v>
      </c>
      <c r="C61" t="s">
        <v>10</v>
      </c>
      <c r="D61">
        <v>2016</v>
      </c>
      <c r="E61">
        <v>35.04</v>
      </c>
      <c r="F61">
        <v>113.76</v>
      </c>
    </row>
    <row r="62" customFormat="1" spans="1:6">
      <c r="A62">
        <v>2022</v>
      </c>
      <c r="B62" t="s">
        <v>19</v>
      </c>
      <c r="C62" t="s">
        <v>11</v>
      </c>
      <c r="D62">
        <v>8869</v>
      </c>
      <c r="E62">
        <v>42.82</v>
      </c>
      <c r="F62">
        <v>458.18</v>
      </c>
    </row>
    <row r="63" customFormat="1" spans="1:6">
      <c r="A63">
        <v>2022</v>
      </c>
      <c r="B63" t="s">
        <v>19</v>
      </c>
      <c r="C63" t="s">
        <v>12</v>
      </c>
      <c r="D63">
        <v>7439</v>
      </c>
      <c r="E63">
        <v>36.06</v>
      </c>
      <c r="F63">
        <v>332.15</v>
      </c>
    </row>
    <row r="64" customFormat="1" spans="1:6">
      <c r="A64">
        <v>2022</v>
      </c>
      <c r="B64" t="s">
        <v>19</v>
      </c>
      <c r="C64" t="s">
        <v>13</v>
      </c>
      <c r="D64">
        <v>8892</v>
      </c>
      <c r="E64">
        <v>18.27</v>
      </c>
      <c r="F64">
        <v>502.9</v>
      </c>
    </row>
    <row r="65" customFormat="1" spans="1:6">
      <c r="A65">
        <v>2022</v>
      </c>
      <c r="B65" t="s">
        <v>19</v>
      </c>
      <c r="C65" t="s">
        <v>14</v>
      </c>
      <c r="D65">
        <v>7863</v>
      </c>
      <c r="E65">
        <v>20.96</v>
      </c>
      <c r="F65">
        <v>380.78</v>
      </c>
    </row>
    <row r="66" customFormat="1" spans="1:6">
      <c r="A66">
        <v>2022</v>
      </c>
      <c r="B66" t="s">
        <v>19</v>
      </c>
      <c r="C66" t="s">
        <v>15</v>
      </c>
      <c r="D66">
        <v>8916</v>
      </c>
      <c r="E66">
        <v>18.58</v>
      </c>
      <c r="F66">
        <v>493.44</v>
      </c>
    </row>
    <row r="67" customFormat="1" spans="1:6">
      <c r="A67">
        <v>2022</v>
      </c>
      <c r="B67" t="s">
        <v>19</v>
      </c>
      <c r="C67" t="s">
        <v>16</v>
      </c>
      <c r="D67">
        <v>9529</v>
      </c>
      <c r="E67">
        <v>25.09</v>
      </c>
      <c r="F67">
        <v>510.08</v>
      </c>
    </row>
    <row r="68" customFormat="1" spans="1:6">
      <c r="A68">
        <v>2022</v>
      </c>
      <c r="B68" t="s">
        <v>19</v>
      </c>
      <c r="C68" t="s">
        <v>17</v>
      </c>
      <c r="D68">
        <v>1878</v>
      </c>
      <c r="E68">
        <v>11.56</v>
      </c>
      <c r="F68">
        <v>83.24</v>
      </c>
    </row>
    <row r="69" customFormat="1" spans="1:6">
      <c r="A69">
        <v>2022</v>
      </c>
      <c r="B69" t="s">
        <v>19</v>
      </c>
      <c r="C69" t="s">
        <v>8</v>
      </c>
      <c r="D69">
        <v>5887</v>
      </c>
      <c r="E69">
        <v>34.73</v>
      </c>
      <c r="F69">
        <v>256.89</v>
      </c>
    </row>
    <row r="70" customFormat="1" spans="1:6">
      <c r="A70">
        <v>2022</v>
      </c>
      <c r="B70" t="s">
        <v>19</v>
      </c>
      <c r="C70" t="s">
        <v>9</v>
      </c>
      <c r="D70">
        <v>5859</v>
      </c>
      <c r="E70">
        <v>23.46</v>
      </c>
      <c r="F70">
        <v>343.45</v>
      </c>
    </row>
    <row r="71" customFormat="1" spans="1:6">
      <c r="A71">
        <v>2022</v>
      </c>
      <c r="B71" t="s">
        <v>19</v>
      </c>
      <c r="C71" t="s">
        <v>10</v>
      </c>
      <c r="D71">
        <v>7331</v>
      </c>
      <c r="E71">
        <v>36.23</v>
      </c>
      <c r="F71">
        <v>397.37</v>
      </c>
    </row>
    <row r="72" customFormat="1" spans="1:6">
      <c r="A72">
        <v>2022</v>
      </c>
      <c r="B72" t="s">
        <v>19</v>
      </c>
      <c r="C72" t="s">
        <v>11</v>
      </c>
      <c r="D72">
        <v>9571</v>
      </c>
      <c r="E72">
        <v>25.42</v>
      </c>
      <c r="F72">
        <v>480.43</v>
      </c>
    </row>
    <row r="73" customFormat="1" spans="1:6">
      <c r="A73">
        <v>2022</v>
      </c>
      <c r="B73" t="s">
        <v>19</v>
      </c>
      <c r="C73" t="s">
        <v>12</v>
      </c>
      <c r="D73">
        <v>9684</v>
      </c>
      <c r="E73">
        <v>37.26</v>
      </c>
      <c r="F73">
        <v>471.84</v>
      </c>
    </row>
    <row r="74" customFormat="1" spans="1:6">
      <c r="A74">
        <v>2022</v>
      </c>
      <c r="B74" t="s">
        <v>19</v>
      </c>
      <c r="C74" t="s">
        <v>13</v>
      </c>
      <c r="D74">
        <v>8208</v>
      </c>
      <c r="E74">
        <v>23.62</v>
      </c>
      <c r="F74">
        <v>442.3</v>
      </c>
    </row>
    <row r="75" customFormat="1" spans="1:6">
      <c r="A75">
        <v>2022</v>
      </c>
      <c r="B75" t="s">
        <v>19</v>
      </c>
      <c r="C75" t="s">
        <v>14</v>
      </c>
      <c r="D75">
        <v>6276</v>
      </c>
      <c r="E75">
        <v>20.43</v>
      </c>
      <c r="F75">
        <v>339.03</v>
      </c>
    </row>
    <row r="76" customFormat="1" spans="1:6">
      <c r="A76">
        <v>2022</v>
      </c>
      <c r="B76" t="s">
        <v>19</v>
      </c>
      <c r="C76" t="s">
        <v>15</v>
      </c>
      <c r="D76">
        <v>3062</v>
      </c>
      <c r="E76">
        <v>29.84</v>
      </c>
      <c r="F76">
        <v>188.38</v>
      </c>
    </row>
    <row r="77" customFormat="1" spans="1:6">
      <c r="A77">
        <v>2022</v>
      </c>
      <c r="B77" t="s">
        <v>19</v>
      </c>
      <c r="C77" t="s">
        <v>16</v>
      </c>
      <c r="D77">
        <v>1064</v>
      </c>
      <c r="E77">
        <v>37.72</v>
      </c>
      <c r="F77">
        <v>67.53</v>
      </c>
    </row>
    <row r="78" customFormat="1" spans="1:6">
      <c r="A78">
        <v>2022</v>
      </c>
      <c r="B78" t="s">
        <v>19</v>
      </c>
      <c r="C78" t="s">
        <v>17</v>
      </c>
      <c r="D78">
        <v>9006</v>
      </c>
      <c r="E78">
        <v>23.93</v>
      </c>
      <c r="F78">
        <v>503.24</v>
      </c>
    </row>
    <row r="79" customFormat="1" spans="1:6">
      <c r="A79">
        <v>2022</v>
      </c>
      <c r="B79" t="s">
        <v>19</v>
      </c>
      <c r="C79" t="s">
        <v>8</v>
      </c>
      <c r="D79">
        <v>3568</v>
      </c>
      <c r="E79">
        <v>47.47</v>
      </c>
      <c r="F79">
        <v>190.84</v>
      </c>
    </row>
    <row r="80" customFormat="1" spans="1:6">
      <c r="A80">
        <v>2022</v>
      </c>
      <c r="B80" t="s">
        <v>19</v>
      </c>
      <c r="C80" t="s">
        <v>9</v>
      </c>
      <c r="D80">
        <v>6463</v>
      </c>
      <c r="E80">
        <v>11.57</v>
      </c>
      <c r="F80">
        <v>373.68</v>
      </c>
    </row>
    <row r="81" customFormat="1" spans="1:6">
      <c r="A81">
        <v>2022</v>
      </c>
      <c r="B81" t="s">
        <v>19</v>
      </c>
      <c r="C81" t="s">
        <v>10</v>
      </c>
      <c r="D81">
        <v>3027</v>
      </c>
      <c r="E81">
        <v>26.72</v>
      </c>
      <c r="F81">
        <v>162.25</v>
      </c>
    </row>
    <row r="82" customFormat="1" spans="1:6">
      <c r="A82">
        <v>2022</v>
      </c>
      <c r="B82" t="s">
        <v>19</v>
      </c>
      <c r="C82" t="s">
        <v>11</v>
      </c>
      <c r="D82">
        <v>3695</v>
      </c>
      <c r="E82">
        <v>48.7</v>
      </c>
      <c r="F82">
        <v>167.8</v>
      </c>
    </row>
    <row r="83" customFormat="1" spans="1:6">
      <c r="A83">
        <v>2022</v>
      </c>
      <c r="B83" t="s">
        <v>19</v>
      </c>
      <c r="C83" t="s">
        <v>12</v>
      </c>
      <c r="D83">
        <v>6258</v>
      </c>
      <c r="E83">
        <v>31.92</v>
      </c>
      <c r="F83">
        <v>323.56</v>
      </c>
    </row>
    <row r="84" customFormat="1" spans="1:6">
      <c r="A84">
        <v>2022</v>
      </c>
      <c r="B84" t="s">
        <v>19</v>
      </c>
      <c r="C84" t="s">
        <v>13</v>
      </c>
      <c r="D84">
        <v>6618</v>
      </c>
      <c r="E84">
        <v>26.94</v>
      </c>
      <c r="F84">
        <v>385.39</v>
      </c>
    </row>
    <row r="85" customFormat="1" spans="1:6">
      <c r="A85">
        <v>2022</v>
      </c>
      <c r="B85" t="s">
        <v>19</v>
      </c>
      <c r="C85" t="s">
        <v>14</v>
      </c>
      <c r="D85">
        <v>7736</v>
      </c>
      <c r="E85">
        <v>32.74</v>
      </c>
      <c r="F85">
        <v>389.39</v>
      </c>
    </row>
    <row r="86" customFormat="1" spans="1:6">
      <c r="A86">
        <v>2022</v>
      </c>
      <c r="B86" t="s">
        <v>19</v>
      </c>
      <c r="C86" t="s">
        <v>15</v>
      </c>
      <c r="D86">
        <v>1391</v>
      </c>
      <c r="E86">
        <v>33.04</v>
      </c>
      <c r="F86">
        <v>85.12</v>
      </c>
    </row>
    <row r="87" customFormat="1" spans="1:6">
      <c r="A87">
        <v>2022</v>
      </c>
      <c r="B87" t="s">
        <v>19</v>
      </c>
      <c r="C87" t="s">
        <v>16</v>
      </c>
      <c r="D87">
        <v>6892</v>
      </c>
      <c r="E87">
        <v>39.27</v>
      </c>
      <c r="F87">
        <v>302.58</v>
      </c>
    </row>
    <row r="88" customFormat="1" spans="1:6">
      <c r="A88">
        <v>2022</v>
      </c>
      <c r="B88" t="s">
        <v>19</v>
      </c>
      <c r="C88" t="s">
        <v>17</v>
      </c>
      <c r="D88">
        <v>4561</v>
      </c>
      <c r="E88">
        <v>15.11</v>
      </c>
      <c r="F88">
        <v>273.44</v>
      </c>
    </row>
    <row r="89" customFormat="1" spans="1:6">
      <c r="A89">
        <v>2022</v>
      </c>
      <c r="B89" t="s">
        <v>20</v>
      </c>
      <c r="C89" t="s">
        <v>8</v>
      </c>
      <c r="D89">
        <v>7184</v>
      </c>
      <c r="E89">
        <v>20</v>
      </c>
      <c r="F89">
        <v>430.34</v>
      </c>
    </row>
    <row r="90" customFormat="1" spans="1:6">
      <c r="A90">
        <v>2022</v>
      </c>
      <c r="B90" t="s">
        <v>20</v>
      </c>
      <c r="C90" t="s">
        <v>9</v>
      </c>
      <c r="D90">
        <v>4099</v>
      </c>
      <c r="E90">
        <v>33.22</v>
      </c>
      <c r="F90">
        <v>196.41</v>
      </c>
    </row>
    <row r="91" customFormat="1" spans="1:6">
      <c r="A91">
        <v>2022</v>
      </c>
      <c r="B91" t="s">
        <v>20</v>
      </c>
      <c r="C91" t="s">
        <v>10</v>
      </c>
      <c r="D91">
        <v>7278</v>
      </c>
      <c r="E91">
        <v>44.68</v>
      </c>
      <c r="F91">
        <v>423.77</v>
      </c>
    </row>
    <row r="92" customFormat="1" spans="1:6">
      <c r="A92">
        <v>2022</v>
      </c>
      <c r="B92" t="s">
        <v>20</v>
      </c>
      <c r="C92" t="s">
        <v>11</v>
      </c>
      <c r="D92">
        <v>9392</v>
      </c>
      <c r="E92">
        <v>32.47</v>
      </c>
      <c r="F92">
        <v>484.28</v>
      </c>
    </row>
    <row r="93" customFormat="1" spans="1:6">
      <c r="A93">
        <v>2022</v>
      </c>
      <c r="B93" t="s">
        <v>20</v>
      </c>
      <c r="C93" t="s">
        <v>12</v>
      </c>
      <c r="D93">
        <v>4104</v>
      </c>
      <c r="E93">
        <v>19.54</v>
      </c>
      <c r="F93">
        <v>180.29</v>
      </c>
    </row>
    <row r="94" customFormat="1" spans="1:6">
      <c r="A94">
        <v>2022</v>
      </c>
      <c r="B94" t="s">
        <v>20</v>
      </c>
      <c r="C94" t="s">
        <v>13</v>
      </c>
      <c r="D94">
        <v>8215</v>
      </c>
      <c r="E94">
        <v>37.19</v>
      </c>
      <c r="F94">
        <v>408.41</v>
      </c>
    </row>
    <row r="95" customFormat="1" spans="1:6">
      <c r="A95">
        <v>2022</v>
      </c>
      <c r="B95" t="s">
        <v>20</v>
      </c>
      <c r="C95" t="s">
        <v>14</v>
      </c>
      <c r="D95">
        <v>3454</v>
      </c>
      <c r="E95">
        <v>39.6</v>
      </c>
      <c r="F95">
        <v>201.79</v>
      </c>
    </row>
    <row r="96" customFormat="1" spans="1:6">
      <c r="A96">
        <v>2022</v>
      </c>
      <c r="B96" t="s">
        <v>20</v>
      </c>
      <c r="C96" t="s">
        <v>15</v>
      </c>
      <c r="D96">
        <v>9996</v>
      </c>
      <c r="E96">
        <v>19.53</v>
      </c>
      <c r="F96">
        <v>566.35</v>
      </c>
    </row>
    <row r="97" customFormat="1" spans="1:6">
      <c r="A97">
        <v>2022</v>
      </c>
      <c r="B97" t="s">
        <v>20</v>
      </c>
      <c r="C97" t="s">
        <v>16</v>
      </c>
      <c r="D97">
        <v>3731</v>
      </c>
      <c r="E97">
        <v>25.11</v>
      </c>
      <c r="F97">
        <v>220.78</v>
      </c>
    </row>
    <row r="98" customFormat="1" spans="1:6">
      <c r="A98">
        <v>2022</v>
      </c>
      <c r="B98" t="s">
        <v>20</v>
      </c>
      <c r="C98" t="s">
        <v>17</v>
      </c>
      <c r="D98">
        <v>9154</v>
      </c>
      <c r="E98">
        <v>31.37</v>
      </c>
      <c r="F98">
        <v>501.4</v>
      </c>
    </row>
    <row r="99" customFormat="1" spans="1:6">
      <c r="A99">
        <v>2022</v>
      </c>
      <c r="B99" t="s">
        <v>20</v>
      </c>
      <c r="C99" t="s">
        <v>8</v>
      </c>
      <c r="D99">
        <v>6056</v>
      </c>
      <c r="E99">
        <v>29.86</v>
      </c>
      <c r="F99">
        <v>293.41</v>
      </c>
    </row>
    <row r="100" customFormat="1" spans="1:6">
      <c r="A100">
        <v>2022</v>
      </c>
      <c r="B100" t="s">
        <v>20</v>
      </c>
      <c r="C100" t="s">
        <v>9</v>
      </c>
      <c r="D100">
        <v>9110</v>
      </c>
      <c r="E100">
        <v>25.58</v>
      </c>
      <c r="F100">
        <v>461.19</v>
      </c>
    </row>
    <row r="101" customFormat="1" spans="1:6">
      <c r="A101">
        <v>2022</v>
      </c>
      <c r="B101" t="s">
        <v>20</v>
      </c>
      <c r="C101" t="s">
        <v>10</v>
      </c>
      <c r="D101">
        <v>4840</v>
      </c>
      <c r="E101">
        <v>21.91</v>
      </c>
      <c r="F101">
        <v>232.12</v>
      </c>
    </row>
    <row r="102" customFormat="1" spans="1:6">
      <c r="A102">
        <v>2022</v>
      </c>
      <c r="B102" t="s">
        <v>20</v>
      </c>
      <c r="C102" t="s">
        <v>11</v>
      </c>
      <c r="D102">
        <v>2028</v>
      </c>
      <c r="E102">
        <v>14</v>
      </c>
      <c r="F102">
        <v>122.5</v>
      </c>
    </row>
    <row r="103" customFormat="1" spans="1:6">
      <c r="A103">
        <v>2022</v>
      </c>
      <c r="B103" t="s">
        <v>20</v>
      </c>
      <c r="C103" t="s">
        <v>12</v>
      </c>
      <c r="D103">
        <v>8385</v>
      </c>
      <c r="E103">
        <v>12.14</v>
      </c>
      <c r="F103">
        <v>469.92</v>
      </c>
    </row>
    <row r="104" customFormat="1" spans="1:6">
      <c r="A104">
        <v>2022</v>
      </c>
      <c r="B104" t="s">
        <v>20</v>
      </c>
      <c r="C104" t="s">
        <v>13</v>
      </c>
      <c r="D104">
        <v>1502</v>
      </c>
      <c r="E104">
        <v>48.34</v>
      </c>
      <c r="F104">
        <v>71.34</v>
      </c>
    </row>
    <row r="105" customFormat="1" spans="1:6">
      <c r="A105">
        <v>2022</v>
      </c>
      <c r="B105" t="s">
        <v>20</v>
      </c>
      <c r="C105" t="s">
        <v>14</v>
      </c>
      <c r="D105">
        <v>7910</v>
      </c>
      <c r="E105">
        <v>43.89</v>
      </c>
      <c r="F105">
        <v>410.19</v>
      </c>
    </row>
    <row r="106" customFormat="1" spans="1:6">
      <c r="A106">
        <v>2022</v>
      </c>
      <c r="B106" t="s">
        <v>20</v>
      </c>
      <c r="C106" t="s">
        <v>15</v>
      </c>
      <c r="D106">
        <v>7938</v>
      </c>
      <c r="E106">
        <v>24.2</v>
      </c>
      <c r="F106">
        <v>399.13</v>
      </c>
    </row>
    <row r="107" customFormat="1" spans="1:6">
      <c r="A107">
        <v>2022</v>
      </c>
      <c r="B107" t="s">
        <v>20</v>
      </c>
      <c r="C107" t="s">
        <v>16</v>
      </c>
      <c r="D107">
        <v>5488</v>
      </c>
      <c r="E107">
        <v>48.27</v>
      </c>
      <c r="F107">
        <v>248.96</v>
      </c>
    </row>
    <row r="108" customFormat="1" spans="1:6">
      <c r="A108">
        <v>2022</v>
      </c>
      <c r="B108" t="s">
        <v>20</v>
      </c>
      <c r="C108" t="s">
        <v>17</v>
      </c>
      <c r="D108">
        <v>1206</v>
      </c>
      <c r="E108">
        <v>37.07</v>
      </c>
      <c r="F108">
        <v>69.91</v>
      </c>
    </row>
    <row r="109" customFormat="1" spans="1:6">
      <c r="A109">
        <v>2022</v>
      </c>
      <c r="B109" t="s">
        <v>20</v>
      </c>
      <c r="C109" t="s">
        <v>8</v>
      </c>
      <c r="D109">
        <v>6134</v>
      </c>
      <c r="E109">
        <v>29.3</v>
      </c>
      <c r="F109">
        <v>309.49</v>
      </c>
    </row>
    <row r="110" customFormat="1" spans="1:6">
      <c r="A110">
        <v>2022</v>
      </c>
      <c r="B110" t="s">
        <v>20</v>
      </c>
      <c r="C110" t="s">
        <v>9</v>
      </c>
      <c r="D110">
        <v>6977</v>
      </c>
      <c r="E110">
        <v>29.72</v>
      </c>
      <c r="F110">
        <v>389.22</v>
      </c>
    </row>
    <row r="111" customFormat="1" spans="1:6">
      <c r="A111">
        <v>2022</v>
      </c>
      <c r="B111" t="s">
        <v>20</v>
      </c>
      <c r="C111" t="s">
        <v>10</v>
      </c>
      <c r="D111">
        <v>8721</v>
      </c>
      <c r="E111">
        <v>13.33</v>
      </c>
      <c r="F111">
        <v>457.5</v>
      </c>
    </row>
    <row r="112" customFormat="1" spans="1:6">
      <c r="A112">
        <v>2022</v>
      </c>
      <c r="B112" t="s">
        <v>20</v>
      </c>
      <c r="C112" t="s">
        <v>11</v>
      </c>
      <c r="D112">
        <v>8035</v>
      </c>
      <c r="E112">
        <v>13.67</v>
      </c>
      <c r="F112">
        <v>425.44</v>
      </c>
    </row>
    <row r="113" customFormat="1" spans="1:6">
      <c r="A113">
        <v>2022</v>
      </c>
      <c r="B113" t="s">
        <v>20</v>
      </c>
      <c r="C113" t="s">
        <v>12</v>
      </c>
      <c r="D113">
        <v>2484</v>
      </c>
      <c r="E113">
        <v>34.1</v>
      </c>
      <c r="F113">
        <v>141.66</v>
      </c>
    </row>
    <row r="114" customFormat="1" spans="1:6">
      <c r="A114">
        <v>2022</v>
      </c>
      <c r="B114" t="s">
        <v>20</v>
      </c>
      <c r="C114" t="s">
        <v>13</v>
      </c>
      <c r="D114">
        <v>8858</v>
      </c>
      <c r="E114">
        <v>32.15</v>
      </c>
      <c r="F114">
        <v>446.54</v>
      </c>
    </row>
    <row r="115" customFormat="1" spans="1:6">
      <c r="A115">
        <v>2022</v>
      </c>
      <c r="B115" t="s">
        <v>20</v>
      </c>
      <c r="C115" t="s">
        <v>14</v>
      </c>
      <c r="D115">
        <v>1863</v>
      </c>
      <c r="E115">
        <v>18.51</v>
      </c>
      <c r="F115">
        <v>96.24</v>
      </c>
    </row>
    <row r="116" customFormat="1" spans="1:6">
      <c r="A116">
        <v>2022</v>
      </c>
      <c r="B116" t="s">
        <v>20</v>
      </c>
      <c r="C116" t="s">
        <v>15</v>
      </c>
      <c r="D116">
        <v>3790</v>
      </c>
      <c r="E116">
        <v>47.85</v>
      </c>
      <c r="F116">
        <v>160.1</v>
      </c>
    </row>
    <row r="117" customFormat="1" spans="1:6">
      <c r="A117">
        <v>2022</v>
      </c>
      <c r="B117" t="s">
        <v>20</v>
      </c>
      <c r="C117" t="s">
        <v>16</v>
      </c>
      <c r="D117">
        <v>8408</v>
      </c>
      <c r="E117">
        <v>41.25</v>
      </c>
      <c r="F117">
        <v>431.65</v>
      </c>
    </row>
    <row r="118" customFormat="1" spans="1:6">
      <c r="A118">
        <v>2022</v>
      </c>
      <c r="B118" t="s">
        <v>20</v>
      </c>
      <c r="C118" t="s">
        <v>17</v>
      </c>
      <c r="D118">
        <v>9755</v>
      </c>
      <c r="E118">
        <v>14.54</v>
      </c>
      <c r="F118">
        <v>493.13</v>
      </c>
    </row>
    <row r="119" customFormat="1" spans="1:6">
      <c r="A119">
        <v>2022</v>
      </c>
      <c r="B119" t="s">
        <v>21</v>
      </c>
      <c r="C119" t="s">
        <v>8</v>
      </c>
      <c r="D119">
        <v>6116</v>
      </c>
      <c r="E119">
        <v>47.24</v>
      </c>
      <c r="F119">
        <v>327.06</v>
      </c>
    </row>
    <row r="120" customFormat="1" spans="1:6">
      <c r="A120">
        <v>2022</v>
      </c>
      <c r="B120" t="s">
        <v>21</v>
      </c>
      <c r="C120" t="s">
        <v>9</v>
      </c>
      <c r="D120">
        <v>7019</v>
      </c>
      <c r="E120">
        <v>48.97</v>
      </c>
      <c r="F120">
        <v>328.38</v>
      </c>
    </row>
    <row r="121" customFormat="1" spans="1:6">
      <c r="A121">
        <v>2022</v>
      </c>
      <c r="B121" t="s">
        <v>21</v>
      </c>
      <c r="C121" t="s">
        <v>10</v>
      </c>
      <c r="D121">
        <v>2757</v>
      </c>
      <c r="E121">
        <v>49.84</v>
      </c>
      <c r="F121">
        <v>140.37</v>
      </c>
    </row>
    <row r="122" customFormat="1" spans="1:6">
      <c r="A122">
        <v>2022</v>
      </c>
      <c r="B122" t="s">
        <v>21</v>
      </c>
      <c r="C122" t="s">
        <v>11</v>
      </c>
      <c r="D122">
        <v>8574</v>
      </c>
      <c r="E122">
        <v>12.23</v>
      </c>
      <c r="F122">
        <v>451.41</v>
      </c>
    </row>
    <row r="123" customFormat="1" spans="1:6">
      <c r="A123">
        <v>2022</v>
      </c>
      <c r="B123" t="s">
        <v>21</v>
      </c>
      <c r="C123" t="s">
        <v>12</v>
      </c>
      <c r="D123">
        <v>7374</v>
      </c>
      <c r="E123">
        <v>39.48</v>
      </c>
      <c r="F123">
        <v>353.02</v>
      </c>
    </row>
    <row r="124" customFormat="1" spans="1:6">
      <c r="A124">
        <v>2022</v>
      </c>
      <c r="B124" t="s">
        <v>21</v>
      </c>
      <c r="C124" t="s">
        <v>13</v>
      </c>
      <c r="D124">
        <v>7892</v>
      </c>
      <c r="E124">
        <v>31.84</v>
      </c>
      <c r="F124">
        <v>411.32</v>
      </c>
    </row>
    <row r="125" customFormat="1" spans="1:6">
      <c r="A125">
        <v>2022</v>
      </c>
      <c r="B125" t="s">
        <v>21</v>
      </c>
      <c r="C125" t="s">
        <v>14</v>
      </c>
      <c r="D125">
        <v>2678</v>
      </c>
      <c r="E125">
        <v>38.23</v>
      </c>
      <c r="F125">
        <v>159.06</v>
      </c>
    </row>
    <row r="126" customFormat="1" spans="1:6">
      <c r="A126">
        <v>2022</v>
      </c>
      <c r="B126" t="s">
        <v>21</v>
      </c>
      <c r="C126" t="s">
        <v>15</v>
      </c>
      <c r="D126">
        <v>4242</v>
      </c>
      <c r="E126">
        <v>48.75</v>
      </c>
      <c r="F126">
        <v>198.66</v>
      </c>
    </row>
    <row r="127" customFormat="1" spans="1:6">
      <c r="A127">
        <v>2022</v>
      </c>
      <c r="B127" t="s">
        <v>21</v>
      </c>
      <c r="C127" t="s">
        <v>16</v>
      </c>
      <c r="D127">
        <v>5636</v>
      </c>
      <c r="E127">
        <v>37.52</v>
      </c>
      <c r="F127">
        <v>285.47</v>
      </c>
    </row>
    <row r="128" customFormat="1" spans="1:6">
      <c r="A128">
        <v>2022</v>
      </c>
      <c r="B128" t="s">
        <v>21</v>
      </c>
      <c r="C128" t="s">
        <v>17</v>
      </c>
      <c r="D128">
        <v>2059</v>
      </c>
      <c r="E128">
        <v>43.48</v>
      </c>
      <c r="F128">
        <v>116.92</v>
      </c>
    </row>
    <row r="129" customFormat="1" spans="1:6">
      <c r="A129">
        <v>2022</v>
      </c>
      <c r="B129" t="s">
        <v>21</v>
      </c>
      <c r="C129" t="s">
        <v>8</v>
      </c>
      <c r="D129">
        <v>7668</v>
      </c>
      <c r="E129">
        <v>44.67</v>
      </c>
      <c r="F129">
        <v>396.6</v>
      </c>
    </row>
    <row r="130" customFormat="1" spans="1:6">
      <c r="A130">
        <v>2022</v>
      </c>
      <c r="B130" t="s">
        <v>21</v>
      </c>
      <c r="C130" t="s">
        <v>9</v>
      </c>
      <c r="D130">
        <v>4157</v>
      </c>
      <c r="E130">
        <v>43.54</v>
      </c>
      <c r="F130">
        <v>204.83</v>
      </c>
    </row>
    <row r="131" customFormat="1" spans="1:6">
      <c r="A131">
        <v>2022</v>
      </c>
      <c r="B131" t="s">
        <v>21</v>
      </c>
      <c r="C131" t="s">
        <v>10</v>
      </c>
      <c r="D131">
        <v>6915</v>
      </c>
      <c r="E131">
        <v>27.04</v>
      </c>
      <c r="F131">
        <v>354.43</v>
      </c>
    </row>
    <row r="132" customFormat="1" spans="1:6">
      <c r="A132">
        <v>2022</v>
      </c>
      <c r="B132" t="s">
        <v>21</v>
      </c>
      <c r="C132" t="s">
        <v>11</v>
      </c>
      <c r="D132">
        <v>3693</v>
      </c>
      <c r="E132">
        <v>18.9</v>
      </c>
      <c r="F132">
        <v>213.62</v>
      </c>
    </row>
    <row r="133" customFormat="1" spans="1:6">
      <c r="A133">
        <v>2022</v>
      </c>
      <c r="B133" t="s">
        <v>21</v>
      </c>
      <c r="C133" t="s">
        <v>12</v>
      </c>
      <c r="D133">
        <v>4627</v>
      </c>
      <c r="E133">
        <v>25.87</v>
      </c>
      <c r="F133">
        <v>246.49</v>
      </c>
    </row>
    <row r="134" customFormat="1" spans="1:6">
      <c r="A134">
        <v>2022</v>
      </c>
      <c r="B134" t="s">
        <v>21</v>
      </c>
      <c r="C134" t="s">
        <v>13</v>
      </c>
      <c r="D134">
        <v>6450</v>
      </c>
      <c r="E134">
        <v>45.68</v>
      </c>
      <c r="F134">
        <v>323.95</v>
      </c>
    </row>
    <row r="135" customFormat="1" spans="1:6">
      <c r="A135">
        <v>2022</v>
      </c>
      <c r="B135" t="s">
        <v>21</v>
      </c>
      <c r="C135" t="s">
        <v>14</v>
      </c>
      <c r="D135">
        <v>2663</v>
      </c>
      <c r="E135">
        <v>15.86</v>
      </c>
      <c r="F135">
        <v>140.23</v>
      </c>
    </row>
    <row r="136" customFormat="1" spans="1:6">
      <c r="A136">
        <v>2022</v>
      </c>
      <c r="B136" t="s">
        <v>21</v>
      </c>
      <c r="C136" t="s">
        <v>15</v>
      </c>
      <c r="D136">
        <v>6592</v>
      </c>
      <c r="E136">
        <v>30.53</v>
      </c>
      <c r="F136">
        <v>348.5</v>
      </c>
    </row>
    <row r="137" customFormat="1" spans="1:6">
      <c r="A137">
        <v>2022</v>
      </c>
      <c r="B137" t="s">
        <v>21</v>
      </c>
      <c r="C137" t="s">
        <v>16</v>
      </c>
      <c r="D137">
        <v>8392</v>
      </c>
      <c r="E137">
        <v>19.33</v>
      </c>
      <c r="F137">
        <v>432.04</v>
      </c>
    </row>
    <row r="138" customFormat="1" spans="1:6">
      <c r="A138">
        <v>2022</v>
      </c>
      <c r="B138" t="s">
        <v>21</v>
      </c>
      <c r="C138" t="s">
        <v>17</v>
      </c>
      <c r="D138">
        <v>2306</v>
      </c>
      <c r="E138">
        <v>33.25</v>
      </c>
      <c r="F138">
        <v>143.52</v>
      </c>
    </row>
    <row r="139" customFormat="1" spans="1:6">
      <c r="A139">
        <v>2022</v>
      </c>
      <c r="B139" t="s">
        <v>21</v>
      </c>
      <c r="C139" t="s">
        <v>8</v>
      </c>
      <c r="D139">
        <v>7776</v>
      </c>
      <c r="E139">
        <v>44.53</v>
      </c>
      <c r="F139">
        <v>371.92</v>
      </c>
    </row>
    <row r="140" customFormat="1" spans="1:6">
      <c r="A140">
        <v>2022</v>
      </c>
      <c r="B140" t="s">
        <v>21</v>
      </c>
      <c r="C140" t="s">
        <v>9</v>
      </c>
      <c r="D140">
        <v>6864</v>
      </c>
      <c r="E140">
        <v>45.21</v>
      </c>
      <c r="F140">
        <v>325.84</v>
      </c>
    </row>
    <row r="141" customFormat="1" spans="1:6">
      <c r="A141">
        <v>2022</v>
      </c>
      <c r="B141" t="s">
        <v>21</v>
      </c>
      <c r="C141" t="s">
        <v>10</v>
      </c>
      <c r="D141">
        <v>8526</v>
      </c>
      <c r="E141">
        <v>19.47</v>
      </c>
      <c r="F141">
        <v>461.85</v>
      </c>
    </row>
    <row r="142" customFormat="1" spans="1:6">
      <c r="A142">
        <v>2022</v>
      </c>
      <c r="B142" t="s">
        <v>21</v>
      </c>
      <c r="C142" t="s">
        <v>11</v>
      </c>
      <c r="D142">
        <v>9901</v>
      </c>
      <c r="E142">
        <v>46.31</v>
      </c>
      <c r="F142">
        <v>489.76</v>
      </c>
    </row>
    <row r="143" customFormat="1" spans="1:6">
      <c r="A143">
        <v>2022</v>
      </c>
      <c r="B143" t="s">
        <v>21</v>
      </c>
      <c r="C143" t="s">
        <v>12</v>
      </c>
      <c r="D143">
        <v>6575</v>
      </c>
      <c r="E143">
        <v>33.68</v>
      </c>
      <c r="F143">
        <v>383.87</v>
      </c>
    </row>
    <row r="144" customFormat="1" spans="1:6">
      <c r="A144">
        <v>2022</v>
      </c>
      <c r="B144" t="s">
        <v>21</v>
      </c>
      <c r="C144" t="s">
        <v>13</v>
      </c>
      <c r="D144">
        <v>6530</v>
      </c>
      <c r="E144">
        <v>24.01</v>
      </c>
      <c r="F144">
        <v>315.1</v>
      </c>
    </row>
    <row r="145" customFormat="1" spans="1:6">
      <c r="A145">
        <v>2022</v>
      </c>
      <c r="B145" t="s">
        <v>21</v>
      </c>
      <c r="C145" t="s">
        <v>14</v>
      </c>
      <c r="D145">
        <v>5413</v>
      </c>
      <c r="E145">
        <v>38.33</v>
      </c>
      <c r="F145">
        <v>276.85</v>
      </c>
    </row>
    <row r="146" customFormat="1" spans="1:6">
      <c r="A146">
        <v>2022</v>
      </c>
      <c r="B146" t="s">
        <v>21</v>
      </c>
      <c r="C146" t="s">
        <v>15</v>
      </c>
      <c r="D146">
        <v>4748</v>
      </c>
      <c r="E146">
        <v>29.27</v>
      </c>
      <c r="F146">
        <v>274.87</v>
      </c>
    </row>
    <row r="147" customFormat="1" spans="1:6">
      <c r="A147">
        <v>2022</v>
      </c>
      <c r="B147" t="s">
        <v>21</v>
      </c>
      <c r="C147" t="s">
        <v>16</v>
      </c>
      <c r="D147">
        <v>1663</v>
      </c>
      <c r="E147">
        <v>25.12</v>
      </c>
      <c r="F147">
        <v>91.44</v>
      </c>
    </row>
    <row r="148" customFormat="1" spans="1:6">
      <c r="A148">
        <v>2022</v>
      </c>
      <c r="B148" t="s">
        <v>21</v>
      </c>
      <c r="C148" t="s">
        <v>17</v>
      </c>
      <c r="D148">
        <v>2998</v>
      </c>
      <c r="E148">
        <v>38.2</v>
      </c>
      <c r="F148">
        <v>135.84</v>
      </c>
    </row>
    <row r="149" customFormat="1" spans="1:6">
      <c r="A149">
        <v>2022</v>
      </c>
      <c r="B149" t="s">
        <v>21</v>
      </c>
      <c r="C149" t="s">
        <v>8</v>
      </c>
      <c r="D149">
        <v>8994</v>
      </c>
      <c r="E149">
        <v>19.95</v>
      </c>
      <c r="F149">
        <v>458.34</v>
      </c>
    </row>
    <row r="150" customFormat="1" spans="1:6">
      <c r="A150">
        <v>2022</v>
      </c>
      <c r="B150" t="s">
        <v>22</v>
      </c>
      <c r="C150" t="s">
        <v>9</v>
      </c>
      <c r="D150">
        <v>2495</v>
      </c>
      <c r="E150">
        <v>23.21</v>
      </c>
      <c r="F150">
        <v>114.66</v>
      </c>
    </row>
    <row r="151" customFormat="1" spans="1:6">
      <c r="A151">
        <v>2022</v>
      </c>
      <c r="B151" t="s">
        <v>22</v>
      </c>
      <c r="C151" t="s">
        <v>10</v>
      </c>
      <c r="D151">
        <v>4304</v>
      </c>
      <c r="E151">
        <v>27.38</v>
      </c>
      <c r="F151">
        <v>259.34</v>
      </c>
    </row>
    <row r="152" customFormat="1" spans="1:6">
      <c r="A152">
        <v>2022</v>
      </c>
      <c r="B152" t="s">
        <v>22</v>
      </c>
      <c r="C152" t="s">
        <v>11</v>
      </c>
      <c r="D152">
        <v>4763</v>
      </c>
      <c r="E152">
        <v>20.15</v>
      </c>
      <c r="F152">
        <v>257.38</v>
      </c>
    </row>
    <row r="153" customFormat="1" spans="1:6">
      <c r="A153">
        <v>2022</v>
      </c>
      <c r="B153" t="s">
        <v>22</v>
      </c>
      <c r="C153" t="s">
        <v>12</v>
      </c>
      <c r="D153">
        <v>6232</v>
      </c>
      <c r="E153">
        <v>26.21</v>
      </c>
      <c r="F153">
        <v>321.19</v>
      </c>
    </row>
    <row r="154" customFormat="1" spans="1:6">
      <c r="A154">
        <v>2022</v>
      </c>
      <c r="B154" t="s">
        <v>22</v>
      </c>
      <c r="C154" t="s">
        <v>13</v>
      </c>
      <c r="D154">
        <v>2853</v>
      </c>
      <c r="E154">
        <v>32.86</v>
      </c>
      <c r="F154">
        <v>110.74</v>
      </c>
    </row>
    <row r="155" customFormat="1" spans="1:6">
      <c r="A155">
        <v>2022</v>
      </c>
      <c r="B155" t="s">
        <v>22</v>
      </c>
      <c r="C155" t="s">
        <v>14</v>
      </c>
      <c r="D155">
        <v>7585</v>
      </c>
      <c r="E155">
        <v>39.64</v>
      </c>
      <c r="F155">
        <v>353.01</v>
      </c>
    </row>
    <row r="156" customFormat="1" spans="1:6">
      <c r="A156">
        <v>2022</v>
      </c>
      <c r="B156" t="s">
        <v>22</v>
      </c>
      <c r="C156" t="s">
        <v>15</v>
      </c>
      <c r="D156">
        <v>2291</v>
      </c>
      <c r="E156">
        <v>40.69</v>
      </c>
      <c r="F156">
        <v>145.03</v>
      </c>
    </row>
    <row r="157" customFormat="1" spans="1:6">
      <c r="A157">
        <v>2022</v>
      </c>
      <c r="B157" t="s">
        <v>22</v>
      </c>
      <c r="C157" t="s">
        <v>16</v>
      </c>
      <c r="D157">
        <v>4581</v>
      </c>
      <c r="E157">
        <v>42.91</v>
      </c>
      <c r="F157">
        <v>233.62</v>
      </c>
    </row>
    <row r="158" customFormat="1" spans="1:6">
      <c r="A158">
        <v>2022</v>
      </c>
      <c r="B158" t="s">
        <v>22</v>
      </c>
      <c r="C158" t="s">
        <v>17</v>
      </c>
      <c r="D158">
        <v>8554</v>
      </c>
      <c r="E158">
        <v>39.77</v>
      </c>
      <c r="F158">
        <v>453.31</v>
      </c>
    </row>
    <row r="159" customFormat="1" spans="1:6">
      <c r="A159">
        <v>2022</v>
      </c>
      <c r="B159" t="s">
        <v>22</v>
      </c>
      <c r="C159" t="s">
        <v>8</v>
      </c>
      <c r="D159">
        <v>8280</v>
      </c>
      <c r="E159">
        <v>37.24</v>
      </c>
      <c r="F159">
        <v>440.11</v>
      </c>
    </row>
    <row r="160" customFormat="1" spans="1:6">
      <c r="A160">
        <v>2022</v>
      </c>
      <c r="B160" t="s">
        <v>22</v>
      </c>
      <c r="C160" t="s">
        <v>9</v>
      </c>
      <c r="D160">
        <v>2636</v>
      </c>
      <c r="E160">
        <v>19.5</v>
      </c>
      <c r="F160">
        <v>138.39</v>
      </c>
    </row>
    <row r="161" customFormat="1" spans="1:6">
      <c r="A161">
        <v>2022</v>
      </c>
      <c r="B161" t="s">
        <v>22</v>
      </c>
      <c r="C161" t="s">
        <v>10</v>
      </c>
      <c r="D161">
        <v>4696</v>
      </c>
      <c r="E161">
        <v>26.01</v>
      </c>
      <c r="F161">
        <v>302.19</v>
      </c>
    </row>
    <row r="162" customFormat="1" spans="1:6">
      <c r="A162">
        <v>2022</v>
      </c>
      <c r="B162" t="s">
        <v>22</v>
      </c>
      <c r="C162" t="s">
        <v>11</v>
      </c>
      <c r="D162">
        <v>1698</v>
      </c>
      <c r="E162">
        <v>29.11</v>
      </c>
      <c r="F162">
        <v>138.96</v>
      </c>
    </row>
    <row r="163" customFormat="1" spans="1:6">
      <c r="A163">
        <v>2022</v>
      </c>
      <c r="B163" t="s">
        <v>22</v>
      </c>
      <c r="C163" t="s">
        <v>12</v>
      </c>
      <c r="D163">
        <v>5737</v>
      </c>
      <c r="E163">
        <v>13.32</v>
      </c>
      <c r="F163">
        <v>309.6</v>
      </c>
    </row>
    <row r="164" customFormat="1" spans="1:6">
      <c r="A164">
        <v>2022</v>
      </c>
      <c r="B164" t="s">
        <v>22</v>
      </c>
      <c r="C164" t="s">
        <v>13</v>
      </c>
      <c r="D164">
        <v>1854</v>
      </c>
      <c r="E164">
        <v>31.13</v>
      </c>
      <c r="F164">
        <v>33.97</v>
      </c>
    </row>
    <row r="165" customFormat="1" spans="1:6">
      <c r="A165">
        <v>2022</v>
      </c>
      <c r="B165" t="s">
        <v>22</v>
      </c>
      <c r="C165" t="s">
        <v>14</v>
      </c>
      <c r="D165">
        <v>9164</v>
      </c>
      <c r="E165">
        <v>27.45</v>
      </c>
      <c r="F165">
        <v>468.13</v>
      </c>
    </row>
    <row r="166" customFormat="1" spans="1:6">
      <c r="A166">
        <v>2022</v>
      </c>
      <c r="B166" t="s">
        <v>22</v>
      </c>
      <c r="C166" t="s">
        <v>15</v>
      </c>
      <c r="D166">
        <v>6855</v>
      </c>
      <c r="E166">
        <v>42.08</v>
      </c>
      <c r="F166">
        <v>347.01</v>
      </c>
    </row>
    <row r="167" customFormat="1" spans="1:6">
      <c r="A167">
        <v>2022</v>
      </c>
      <c r="B167" t="s">
        <v>22</v>
      </c>
      <c r="C167" t="s">
        <v>16</v>
      </c>
      <c r="D167">
        <v>8392</v>
      </c>
      <c r="E167">
        <v>49.12</v>
      </c>
      <c r="F167">
        <v>399.31</v>
      </c>
    </row>
    <row r="168" customFormat="1" spans="1:6">
      <c r="A168">
        <v>2022</v>
      </c>
      <c r="B168" t="s">
        <v>22</v>
      </c>
      <c r="C168" t="s">
        <v>17</v>
      </c>
      <c r="D168">
        <v>7528</v>
      </c>
      <c r="E168">
        <v>32.24</v>
      </c>
      <c r="F168">
        <v>383.28</v>
      </c>
    </row>
    <row r="169" customFormat="1" spans="1:6">
      <c r="A169">
        <v>2022</v>
      </c>
      <c r="B169" t="s">
        <v>22</v>
      </c>
      <c r="C169" t="s">
        <v>8</v>
      </c>
      <c r="D169">
        <v>6249</v>
      </c>
      <c r="E169">
        <v>22.91</v>
      </c>
      <c r="F169">
        <v>318.39</v>
      </c>
    </row>
    <row r="170" customFormat="1" spans="1:6">
      <c r="A170">
        <v>2022</v>
      </c>
      <c r="B170" t="s">
        <v>22</v>
      </c>
      <c r="C170" t="s">
        <v>9</v>
      </c>
      <c r="D170">
        <v>6172</v>
      </c>
      <c r="E170">
        <v>11.74</v>
      </c>
      <c r="F170">
        <v>362.95</v>
      </c>
    </row>
    <row r="171" customFormat="1" spans="1:6">
      <c r="A171">
        <v>2022</v>
      </c>
      <c r="B171" t="s">
        <v>22</v>
      </c>
      <c r="C171" t="s">
        <v>10</v>
      </c>
      <c r="D171">
        <v>2707</v>
      </c>
      <c r="E171">
        <v>46.99</v>
      </c>
      <c r="F171">
        <v>130.24</v>
      </c>
    </row>
    <row r="172" customFormat="1" spans="1:6">
      <c r="A172">
        <v>2022</v>
      </c>
      <c r="B172" t="s">
        <v>22</v>
      </c>
      <c r="C172" t="s">
        <v>11</v>
      </c>
      <c r="D172">
        <v>6791</v>
      </c>
      <c r="E172">
        <v>46.76</v>
      </c>
      <c r="F172">
        <v>352.46</v>
      </c>
    </row>
    <row r="173" customFormat="1" spans="1:6">
      <c r="A173">
        <v>2022</v>
      </c>
      <c r="B173" t="s">
        <v>22</v>
      </c>
      <c r="C173" t="s">
        <v>12</v>
      </c>
      <c r="D173">
        <v>6535</v>
      </c>
      <c r="E173">
        <v>20.12</v>
      </c>
      <c r="F173">
        <v>377.05</v>
      </c>
    </row>
    <row r="174" customFormat="1" spans="1:6">
      <c r="A174">
        <v>2022</v>
      </c>
      <c r="B174" t="s">
        <v>22</v>
      </c>
      <c r="C174" t="s">
        <v>13</v>
      </c>
      <c r="D174">
        <v>5931</v>
      </c>
      <c r="E174">
        <v>37.82</v>
      </c>
      <c r="F174">
        <v>257.68</v>
      </c>
    </row>
    <row r="175" customFormat="1" spans="1:6">
      <c r="A175">
        <v>2022</v>
      </c>
      <c r="B175" t="s">
        <v>22</v>
      </c>
      <c r="C175" t="s">
        <v>14</v>
      </c>
      <c r="D175">
        <v>4510</v>
      </c>
      <c r="E175">
        <v>13.02</v>
      </c>
      <c r="F175">
        <v>244.47</v>
      </c>
    </row>
    <row r="176" customFormat="1" spans="1:6">
      <c r="A176">
        <v>2022</v>
      </c>
      <c r="B176" t="s">
        <v>22</v>
      </c>
      <c r="C176" t="s">
        <v>15</v>
      </c>
      <c r="D176">
        <v>1202</v>
      </c>
      <c r="E176">
        <v>16.65</v>
      </c>
      <c r="F176">
        <v>77.64</v>
      </c>
    </row>
    <row r="177" customFormat="1" spans="1:6">
      <c r="A177">
        <v>2022</v>
      </c>
      <c r="B177" t="s">
        <v>22</v>
      </c>
      <c r="C177" t="s">
        <v>16</v>
      </c>
      <c r="D177">
        <v>5218</v>
      </c>
      <c r="E177">
        <v>18.67</v>
      </c>
      <c r="F177">
        <v>339.92</v>
      </c>
    </row>
    <row r="178" customFormat="1" spans="1:6">
      <c r="A178">
        <v>2022</v>
      </c>
      <c r="B178" t="s">
        <v>22</v>
      </c>
      <c r="C178" t="s">
        <v>17</v>
      </c>
      <c r="D178">
        <v>9958</v>
      </c>
      <c r="E178">
        <v>21.78</v>
      </c>
      <c r="F178">
        <v>524.74</v>
      </c>
    </row>
    <row r="179" customFormat="1" spans="1:6">
      <c r="A179">
        <v>2022</v>
      </c>
      <c r="B179" t="s">
        <v>22</v>
      </c>
      <c r="C179" t="s">
        <v>8</v>
      </c>
      <c r="D179">
        <v>5389</v>
      </c>
      <c r="E179">
        <v>49.83</v>
      </c>
      <c r="F179">
        <v>275.9</v>
      </c>
    </row>
    <row r="180" customFormat="1" spans="1:6">
      <c r="A180">
        <v>2022</v>
      </c>
      <c r="B180" t="s">
        <v>23</v>
      </c>
      <c r="C180" t="s">
        <v>9</v>
      </c>
      <c r="D180">
        <v>3327</v>
      </c>
      <c r="E180">
        <v>37.88</v>
      </c>
      <c r="F180">
        <v>133.28</v>
      </c>
    </row>
    <row r="181" customFormat="1" spans="1:6">
      <c r="A181">
        <v>2022</v>
      </c>
      <c r="B181" t="s">
        <v>23</v>
      </c>
      <c r="C181" t="s">
        <v>10</v>
      </c>
      <c r="D181">
        <v>9004</v>
      </c>
      <c r="E181">
        <v>25.37</v>
      </c>
      <c r="F181">
        <v>472.62</v>
      </c>
    </row>
    <row r="182" customFormat="1" spans="1:6">
      <c r="A182">
        <v>2022</v>
      </c>
      <c r="B182" t="s">
        <v>23</v>
      </c>
      <c r="C182" t="s">
        <v>11</v>
      </c>
      <c r="D182">
        <v>3931</v>
      </c>
      <c r="E182">
        <v>39.48</v>
      </c>
      <c r="F182">
        <v>218.74</v>
      </c>
    </row>
    <row r="183" customFormat="1" spans="1:6">
      <c r="A183">
        <v>2022</v>
      </c>
      <c r="B183" t="s">
        <v>23</v>
      </c>
      <c r="C183" t="s">
        <v>12</v>
      </c>
      <c r="D183">
        <v>8777</v>
      </c>
      <c r="E183">
        <v>46.61</v>
      </c>
      <c r="F183">
        <v>450.16</v>
      </c>
    </row>
    <row r="184" customFormat="1" spans="1:6">
      <c r="A184">
        <v>2022</v>
      </c>
      <c r="B184" t="s">
        <v>23</v>
      </c>
      <c r="C184" t="s">
        <v>13</v>
      </c>
      <c r="D184">
        <v>1197</v>
      </c>
      <c r="E184">
        <v>48.35</v>
      </c>
      <c r="F184">
        <v>64.3</v>
      </c>
    </row>
    <row r="185" customFormat="1" spans="1:6">
      <c r="A185">
        <v>2022</v>
      </c>
      <c r="B185" t="s">
        <v>23</v>
      </c>
      <c r="C185" t="s">
        <v>14</v>
      </c>
      <c r="D185">
        <v>8125</v>
      </c>
      <c r="E185">
        <v>12.31</v>
      </c>
      <c r="F185">
        <v>441.73</v>
      </c>
    </row>
    <row r="186" customFormat="1" spans="1:6">
      <c r="A186">
        <v>2022</v>
      </c>
      <c r="B186" t="s">
        <v>23</v>
      </c>
      <c r="C186" t="s">
        <v>15</v>
      </c>
      <c r="D186">
        <v>2930</v>
      </c>
      <c r="E186">
        <v>25.78</v>
      </c>
      <c r="F186">
        <v>166.79</v>
      </c>
    </row>
    <row r="187" customFormat="1" spans="1:6">
      <c r="A187">
        <v>2022</v>
      </c>
      <c r="B187" t="s">
        <v>23</v>
      </c>
      <c r="C187" t="s">
        <v>16</v>
      </c>
      <c r="D187">
        <v>7287</v>
      </c>
      <c r="E187">
        <v>14.27</v>
      </c>
      <c r="F187">
        <v>363.36</v>
      </c>
    </row>
    <row r="188" customFormat="1" spans="1:6">
      <c r="A188">
        <v>2022</v>
      </c>
      <c r="B188" t="s">
        <v>23</v>
      </c>
      <c r="C188" t="s">
        <v>17</v>
      </c>
      <c r="D188">
        <v>9800</v>
      </c>
      <c r="E188">
        <v>23.43</v>
      </c>
      <c r="F188">
        <v>493.88</v>
      </c>
    </row>
    <row r="189" customFormat="1" spans="1:6">
      <c r="A189">
        <v>2022</v>
      </c>
      <c r="B189" t="s">
        <v>23</v>
      </c>
      <c r="C189" t="s">
        <v>8</v>
      </c>
      <c r="D189">
        <v>5282</v>
      </c>
      <c r="E189">
        <v>16.79</v>
      </c>
      <c r="F189">
        <v>298.57</v>
      </c>
    </row>
    <row r="190" customFormat="1" spans="1:6">
      <c r="A190">
        <v>2022</v>
      </c>
      <c r="B190" t="s">
        <v>23</v>
      </c>
      <c r="C190" t="s">
        <v>9</v>
      </c>
      <c r="D190">
        <v>3511</v>
      </c>
      <c r="E190">
        <v>35.87</v>
      </c>
      <c r="F190">
        <v>168.18</v>
      </c>
    </row>
    <row r="191" customFormat="1" spans="1:6">
      <c r="A191">
        <v>2022</v>
      </c>
      <c r="B191" t="s">
        <v>23</v>
      </c>
      <c r="C191" t="s">
        <v>10</v>
      </c>
      <c r="D191">
        <v>1659</v>
      </c>
      <c r="E191">
        <v>25.53</v>
      </c>
      <c r="F191">
        <v>116.09</v>
      </c>
    </row>
    <row r="192" customFormat="1" spans="1:6">
      <c r="A192">
        <v>2022</v>
      </c>
      <c r="B192" t="s">
        <v>23</v>
      </c>
      <c r="C192" t="s">
        <v>11</v>
      </c>
      <c r="D192">
        <v>3811</v>
      </c>
      <c r="E192">
        <v>19.18</v>
      </c>
      <c r="F192">
        <v>226.87</v>
      </c>
    </row>
    <row r="193" customFormat="1" spans="1:6">
      <c r="A193">
        <v>2022</v>
      </c>
      <c r="B193" t="s">
        <v>23</v>
      </c>
      <c r="C193" t="s">
        <v>12</v>
      </c>
      <c r="D193">
        <v>8098</v>
      </c>
      <c r="E193">
        <v>20.64</v>
      </c>
      <c r="F193">
        <v>457.48</v>
      </c>
    </row>
    <row r="194" customFormat="1" spans="1:6">
      <c r="A194">
        <v>2022</v>
      </c>
      <c r="B194" t="s">
        <v>23</v>
      </c>
      <c r="C194" t="s">
        <v>13</v>
      </c>
      <c r="D194">
        <v>7546</v>
      </c>
      <c r="E194">
        <v>24.41</v>
      </c>
      <c r="F194">
        <v>417.17</v>
      </c>
    </row>
    <row r="195" customFormat="1" spans="1:6">
      <c r="A195">
        <v>2022</v>
      </c>
      <c r="B195" t="s">
        <v>23</v>
      </c>
      <c r="C195" t="s">
        <v>14</v>
      </c>
      <c r="D195">
        <v>2986</v>
      </c>
      <c r="E195">
        <v>20.4</v>
      </c>
      <c r="F195">
        <v>179.37</v>
      </c>
    </row>
    <row r="196" customFormat="1" spans="1:6">
      <c r="A196">
        <v>2022</v>
      </c>
      <c r="B196" t="s">
        <v>23</v>
      </c>
      <c r="C196" t="s">
        <v>15</v>
      </c>
      <c r="D196">
        <v>9338</v>
      </c>
      <c r="E196">
        <v>28.13</v>
      </c>
      <c r="F196">
        <v>498.1</v>
      </c>
    </row>
    <row r="197" customFormat="1" spans="1:6">
      <c r="A197">
        <v>2022</v>
      </c>
      <c r="B197" t="s">
        <v>23</v>
      </c>
      <c r="C197" t="s">
        <v>16</v>
      </c>
      <c r="D197">
        <v>3911</v>
      </c>
      <c r="E197">
        <v>11.29</v>
      </c>
      <c r="F197">
        <v>252.1</v>
      </c>
    </row>
    <row r="198" customFormat="1" spans="1:6">
      <c r="A198">
        <v>2022</v>
      </c>
      <c r="B198" t="s">
        <v>23</v>
      </c>
      <c r="C198" t="s">
        <v>17</v>
      </c>
      <c r="D198">
        <v>2734</v>
      </c>
      <c r="E198">
        <v>21.19</v>
      </c>
      <c r="F198">
        <v>151.12</v>
      </c>
    </row>
    <row r="199" customFormat="1" spans="1:6">
      <c r="A199">
        <v>2022</v>
      </c>
      <c r="B199" t="s">
        <v>23</v>
      </c>
      <c r="C199" t="s">
        <v>8</v>
      </c>
      <c r="D199">
        <v>2843</v>
      </c>
      <c r="E199">
        <v>26.45</v>
      </c>
      <c r="F199">
        <v>153.83</v>
      </c>
    </row>
    <row r="200" customFormat="1" spans="1:6">
      <c r="A200">
        <v>2022</v>
      </c>
      <c r="B200" t="s">
        <v>23</v>
      </c>
      <c r="C200" t="s">
        <v>9</v>
      </c>
      <c r="D200">
        <v>9680</v>
      </c>
      <c r="E200">
        <v>34.11</v>
      </c>
      <c r="F200">
        <v>491.13</v>
      </c>
    </row>
    <row r="201" customFormat="1" spans="1:6">
      <c r="A201">
        <v>2022</v>
      </c>
      <c r="B201" t="s">
        <v>23</v>
      </c>
      <c r="C201" t="s">
        <v>10</v>
      </c>
      <c r="D201">
        <v>3976</v>
      </c>
      <c r="E201">
        <v>20.84</v>
      </c>
      <c r="F201">
        <v>214.28</v>
      </c>
    </row>
    <row r="202" customFormat="1" spans="1:6">
      <c r="A202">
        <v>2022</v>
      </c>
      <c r="B202" t="s">
        <v>23</v>
      </c>
      <c r="C202" t="s">
        <v>11</v>
      </c>
      <c r="D202">
        <v>2959</v>
      </c>
      <c r="E202">
        <v>15.33</v>
      </c>
      <c r="F202">
        <v>199.87</v>
      </c>
    </row>
    <row r="203" customFormat="1" spans="1:6">
      <c r="A203">
        <v>2022</v>
      </c>
      <c r="B203" t="s">
        <v>23</v>
      </c>
      <c r="C203" t="s">
        <v>12</v>
      </c>
      <c r="D203">
        <v>6759</v>
      </c>
      <c r="E203">
        <v>13.05</v>
      </c>
      <c r="F203">
        <v>359.75</v>
      </c>
    </row>
    <row r="204" customFormat="1" spans="1:6">
      <c r="A204">
        <v>2022</v>
      </c>
      <c r="B204" t="s">
        <v>23</v>
      </c>
      <c r="C204" t="s">
        <v>13</v>
      </c>
      <c r="D204">
        <v>7694</v>
      </c>
      <c r="E204">
        <v>47.62</v>
      </c>
      <c r="F204">
        <v>402.59</v>
      </c>
    </row>
    <row r="205" customFormat="1" spans="1:6">
      <c r="A205">
        <v>2022</v>
      </c>
      <c r="B205" t="s">
        <v>23</v>
      </c>
      <c r="C205" t="s">
        <v>14</v>
      </c>
      <c r="D205">
        <v>3385</v>
      </c>
      <c r="E205">
        <v>26.67</v>
      </c>
      <c r="F205">
        <v>179.91</v>
      </c>
    </row>
    <row r="206" customFormat="1" spans="1:6">
      <c r="A206">
        <v>2022</v>
      </c>
      <c r="B206" t="s">
        <v>23</v>
      </c>
      <c r="C206" t="s">
        <v>15</v>
      </c>
      <c r="D206">
        <v>5736</v>
      </c>
      <c r="E206">
        <v>33.25</v>
      </c>
      <c r="F206">
        <v>306.35</v>
      </c>
    </row>
    <row r="207" customFormat="1" spans="1:6">
      <c r="A207">
        <v>2022</v>
      </c>
      <c r="B207" t="s">
        <v>23</v>
      </c>
      <c r="C207" t="s">
        <v>16</v>
      </c>
      <c r="D207">
        <v>2802</v>
      </c>
      <c r="E207">
        <v>46.77</v>
      </c>
      <c r="F207">
        <v>137.31</v>
      </c>
    </row>
    <row r="208" customFormat="1" spans="1:6">
      <c r="A208">
        <v>2022</v>
      </c>
      <c r="B208" t="s">
        <v>23</v>
      </c>
      <c r="C208" t="s">
        <v>17</v>
      </c>
      <c r="D208">
        <v>9155</v>
      </c>
      <c r="E208">
        <v>13.31</v>
      </c>
      <c r="F208">
        <v>472.26</v>
      </c>
    </row>
    <row r="209" customFormat="1" spans="1:6">
      <c r="A209">
        <v>2022</v>
      </c>
      <c r="B209" t="s">
        <v>23</v>
      </c>
      <c r="C209" t="s">
        <v>8</v>
      </c>
      <c r="D209">
        <v>9120</v>
      </c>
      <c r="E209">
        <v>45.07</v>
      </c>
      <c r="F209">
        <v>451.52</v>
      </c>
    </row>
    <row r="210" customFormat="1" spans="1:6">
      <c r="A210">
        <v>2022</v>
      </c>
      <c r="B210" t="s">
        <v>23</v>
      </c>
      <c r="C210" t="s">
        <v>9</v>
      </c>
      <c r="D210">
        <v>7616</v>
      </c>
      <c r="E210">
        <v>32.06</v>
      </c>
      <c r="F210">
        <v>399</v>
      </c>
    </row>
    <row r="211" customFormat="1" spans="1:6">
      <c r="A211">
        <v>2022</v>
      </c>
      <c r="B211" t="s">
        <v>24</v>
      </c>
      <c r="C211" t="s">
        <v>10</v>
      </c>
      <c r="D211">
        <v>6534</v>
      </c>
      <c r="E211">
        <v>16.59</v>
      </c>
      <c r="F211">
        <v>355.5</v>
      </c>
    </row>
    <row r="212" customFormat="1" spans="1:6">
      <c r="A212">
        <v>2022</v>
      </c>
      <c r="B212" t="s">
        <v>24</v>
      </c>
      <c r="C212" t="s">
        <v>11</v>
      </c>
      <c r="D212">
        <v>5061</v>
      </c>
      <c r="E212">
        <v>26.45</v>
      </c>
      <c r="F212">
        <v>244.46</v>
      </c>
    </row>
    <row r="213" customFormat="1" spans="1:6">
      <c r="A213">
        <v>2022</v>
      </c>
      <c r="B213" t="s">
        <v>24</v>
      </c>
      <c r="C213" t="s">
        <v>12</v>
      </c>
      <c r="D213">
        <v>1262</v>
      </c>
      <c r="E213">
        <v>41.1</v>
      </c>
      <c r="F213">
        <v>97.8</v>
      </c>
    </row>
    <row r="214" customFormat="1" spans="1:6">
      <c r="A214">
        <v>2022</v>
      </c>
      <c r="B214" t="s">
        <v>24</v>
      </c>
      <c r="C214" t="s">
        <v>13</v>
      </c>
      <c r="D214">
        <v>7287</v>
      </c>
      <c r="E214">
        <v>29.21</v>
      </c>
      <c r="F214">
        <v>381.05</v>
      </c>
    </row>
    <row r="215" customFormat="1" spans="1:6">
      <c r="A215">
        <v>2022</v>
      </c>
      <c r="B215" t="s">
        <v>24</v>
      </c>
      <c r="C215" t="s">
        <v>14</v>
      </c>
      <c r="D215">
        <v>9815</v>
      </c>
      <c r="E215">
        <v>49.41</v>
      </c>
      <c r="F215">
        <v>465.57</v>
      </c>
    </row>
    <row r="216" customFormat="1" spans="1:6">
      <c r="A216">
        <v>2022</v>
      </c>
      <c r="B216" t="s">
        <v>24</v>
      </c>
      <c r="C216" t="s">
        <v>15</v>
      </c>
      <c r="D216">
        <v>3049</v>
      </c>
      <c r="E216">
        <v>25.07</v>
      </c>
      <c r="F216">
        <v>204.78</v>
      </c>
    </row>
    <row r="217" customFormat="1" spans="1:6">
      <c r="A217">
        <v>2022</v>
      </c>
      <c r="B217" t="s">
        <v>24</v>
      </c>
      <c r="C217" t="s">
        <v>16</v>
      </c>
      <c r="D217">
        <v>6423</v>
      </c>
      <c r="E217">
        <v>39.98</v>
      </c>
      <c r="F217">
        <v>335.52</v>
      </c>
    </row>
    <row r="218" customFormat="1" spans="1:6">
      <c r="A218">
        <v>2022</v>
      </c>
      <c r="B218" t="s">
        <v>24</v>
      </c>
      <c r="C218" t="s">
        <v>17</v>
      </c>
      <c r="D218">
        <v>5548</v>
      </c>
      <c r="E218">
        <v>25.72</v>
      </c>
      <c r="F218">
        <v>272.53</v>
      </c>
    </row>
    <row r="219" customFormat="1" spans="1:6">
      <c r="A219">
        <v>2022</v>
      </c>
      <c r="B219" t="s">
        <v>24</v>
      </c>
      <c r="C219" t="s">
        <v>8</v>
      </c>
      <c r="D219">
        <v>4108</v>
      </c>
      <c r="E219">
        <v>43.17</v>
      </c>
      <c r="F219">
        <v>182.71</v>
      </c>
    </row>
    <row r="220" customFormat="1" spans="1:6">
      <c r="A220">
        <v>2022</v>
      </c>
      <c r="B220" t="s">
        <v>24</v>
      </c>
      <c r="C220" t="s">
        <v>9</v>
      </c>
      <c r="D220">
        <v>8158</v>
      </c>
      <c r="E220">
        <v>32.76</v>
      </c>
      <c r="F220">
        <v>414.14</v>
      </c>
    </row>
    <row r="221" customFormat="1" spans="1:6">
      <c r="A221">
        <v>2022</v>
      </c>
      <c r="B221" t="s">
        <v>24</v>
      </c>
      <c r="C221" t="s">
        <v>10</v>
      </c>
      <c r="D221">
        <v>8400</v>
      </c>
      <c r="E221">
        <v>12.54</v>
      </c>
      <c r="F221">
        <v>460.9</v>
      </c>
    </row>
    <row r="222" customFormat="1" spans="1:6">
      <c r="A222">
        <v>2022</v>
      </c>
      <c r="B222" t="s">
        <v>24</v>
      </c>
      <c r="C222" t="s">
        <v>11</v>
      </c>
      <c r="D222">
        <v>4170</v>
      </c>
      <c r="E222">
        <v>11.47</v>
      </c>
      <c r="F222">
        <v>257.19</v>
      </c>
    </row>
    <row r="223" customFormat="1" spans="1:6">
      <c r="A223">
        <v>2022</v>
      </c>
      <c r="B223" t="s">
        <v>24</v>
      </c>
      <c r="C223" t="s">
        <v>12</v>
      </c>
      <c r="D223">
        <v>3255</v>
      </c>
      <c r="E223">
        <v>15.35</v>
      </c>
      <c r="F223">
        <v>213.33</v>
      </c>
    </row>
    <row r="224" customFormat="1" spans="1:6">
      <c r="A224">
        <v>2022</v>
      </c>
      <c r="B224" t="s">
        <v>24</v>
      </c>
      <c r="C224" t="s">
        <v>13</v>
      </c>
      <c r="D224">
        <v>2154</v>
      </c>
      <c r="E224">
        <v>10.55</v>
      </c>
      <c r="F224">
        <v>155.84</v>
      </c>
    </row>
    <row r="225" customFormat="1" spans="1:6">
      <c r="A225">
        <v>2022</v>
      </c>
      <c r="B225" t="s">
        <v>24</v>
      </c>
      <c r="C225" t="s">
        <v>14</v>
      </c>
      <c r="D225">
        <v>5499</v>
      </c>
      <c r="E225">
        <v>13.01</v>
      </c>
      <c r="F225">
        <v>336.27</v>
      </c>
    </row>
    <row r="226" customFormat="1" spans="1:6">
      <c r="A226">
        <v>2022</v>
      </c>
      <c r="B226" t="s">
        <v>24</v>
      </c>
      <c r="C226" t="s">
        <v>15</v>
      </c>
      <c r="D226">
        <v>7295</v>
      </c>
      <c r="E226">
        <v>37.67</v>
      </c>
      <c r="F226">
        <v>372.08</v>
      </c>
    </row>
    <row r="227" customFormat="1" spans="1:6">
      <c r="A227">
        <v>2022</v>
      </c>
      <c r="B227" t="s">
        <v>24</v>
      </c>
      <c r="C227" t="s">
        <v>16</v>
      </c>
      <c r="D227">
        <v>7197</v>
      </c>
      <c r="E227">
        <v>31.37</v>
      </c>
      <c r="F227">
        <v>357.01</v>
      </c>
    </row>
    <row r="228" customFormat="1" spans="1:6">
      <c r="A228">
        <v>2022</v>
      </c>
      <c r="B228" t="s">
        <v>24</v>
      </c>
      <c r="C228" t="s">
        <v>17</v>
      </c>
      <c r="D228">
        <v>2648</v>
      </c>
      <c r="E228">
        <v>40</v>
      </c>
      <c r="F228">
        <v>134.34</v>
      </c>
    </row>
    <row r="229" customFormat="1" spans="1:6">
      <c r="A229">
        <v>2022</v>
      </c>
      <c r="B229" t="s">
        <v>24</v>
      </c>
      <c r="C229" t="s">
        <v>8</v>
      </c>
      <c r="D229">
        <v>6539</v>
      </c>
      <c r="E229">
        <v>46.53</v>
      </c>
      <c r="F229">
        <v>319.74</v>
      </c>
    </row>
    <row r="230" customFormat="1" spans="1:6">
      <c r="A230">
        <v>2022</v>
      </c>
      <c r="B230" t="s">
        <v>24</v>
      </c>
      <c r="C230" t="s">
        <v>9</v>
      </c>
      <c r="D230">
        <v>5199</v>
      </c>
      <c r="E230">
        <v>33.41</v>
      </c>
      <c r="F230">
        <v>218.3</v>
      </c>
    </row>
    <row r="231" customFormat="1" spans="1:6">
      <c r="A231">
        <v>2022</v>
      </c>
      <c r="B231" t="s">
        <v>24</v>
      </c>
      <c r="C231" t="s">
        <v>10</v>
      </c>
      <c r="D231">
        <v>9445</v>
      </c>
      <c r="E231">
        <v>39.04</v>
      </c>
      <c r="F231">
        <v>464.17</v>
      </c>
    </row>
    <row r="232" customFormat="1" spans="1:6">
      <c r="A232">
        <v>2022</v>
      </c>
      <c r="B232" t="s">
        <v>24</v>
      </c>
      <c r="C232" t="s">
        <v>11</v>
      </c>
      <c r="D232">
        <v>3557</v>
      </c>
      <c r="E232">
        <v>40.28</v>
      </c>
      <c r="F232">
        <v>185.79</v>
      </c>
    </row>
    <row r="233" customFormat="1" spans="1:6">
      <c r="A233">
        <v>2022</v>
      </c>
      <c r="B233" t="s">
        <v>24</v>
      </c>
      <c r="C233" t="s">
        <v>12</v>
      </c>
      <c r="D233">
        <v>6592</v>
      </c>
      <c r="E233">
        <v>25.11</v>
      </c>
      <c r="F233">
        <v>340.98</v>
      </c>
    </row>
    <row r="234" customFormat="1" spans="1:6">
      <c r="A234">
        <v>2022</v>
      </c>
      <c r="B234" t="s">
        <v>24</v>
      </c>
      <c r="C234" t="s">
        <v>13</v>
      </c>
      <c r="D234">
        <v>1098</v>
      </c>
      <c r="E234">
        <v>19.64</v>
      </c>
      <c r="F234">
        <v>68.4</v>
      </c>
    </row>
    <row r="235" customFormat="1" spans="1:6">
      <c r="A235">
        <v>2022</v>
      </c>
      <c r="B235" t="s">
        <v>24</v>
      </c>
      <c r="C235" t="s">
        <v>14</v>
      </c>
      <c r="D235">
        <v>3200</v>
      </c>
      <c r="E235">
        <v>18.2</v>
      </c>
      <c r="F235">
        <v>206.39</v>
      </c>
    </row>
    <row r="236" customFormat="1" spans="1:6">
      <c r="A236">
        <v>2022</v>
      </c>
      <c r="B236" t="s">
        <v>24</v>
      </c>
      <c r="C236" t="s">
        <v>15</v>
      </c>
      <c r="D236">
        <v>3961</v>
      </c>
      <c r="E236">
        <v>20.06</v>
      </c>
      <c r="F236">
        <v>205.65</v>
      </c>
    </row>
    <row r="237" customFormat="1" spans="1:6">
      <c r="A237">
        <v>2022</v>
      </c>
      <c r="B237" t="s">
        <v>24</v>
      </c>
      <c r="C237" t="s">
        <v>16</v>
      </c>
      <c r="D237">
        <v>5973</v>
      </c>
      <c r="E237">
        <v>20.99</v>
      </c>
      <c r="F237">
        <v>337.7</v>
      </c>
    </row>
    <row r="238" customFormat="1" spans="1:6">
      <c r="A238">
        <v>2022</v>
      </c>
      <c r="B238" t="s">
        <v>24</v>
      </c>
      <c r="C238" t="s">
        <v>17</v>
      </c>
      <c r="D238">
        <v>5433</v>
      </c>
      <c r="E238">
        <v>18.29</v>
      </c>
      <c r="F238">
        <v>273.05</v>
      </c>
    </row>
    <row r="239" customFormat="1" spans="1:6">
      <c r="A239">
        <v>2022</v>
      </c>
      <c r="B239" t="s">
        <v>24</v>
      </c>
      <c r="C239" t="s">
        <v>8</v>
      </c>
      <c r="D239">
        <v>3869</v>
      </c>
      <c r="E239">
        <v>45.13</v>
      </c>
      <c r="F239">
        <v>244.51</v>
      </c>
    </row>
    <row r="240" customFormat="1" spans="1:6">
      <c r="A240">
        <v>2022</v>
      </c>
      <c r="B240" t="s">
        <v>24</v>
      </c>
      <c r="C240" t="s">
        <v>9</v>
      </c>
      <c r="D240">
        <v>1956</v>
      </c>
      <c r="E240">
        <v>40.28</v>
      </c>
      <c r="F240">
        <v>95.15</v>
      </c>
    </row>
    <row r="241" customFormat="1" spans="1:6">
      <c r="A241">
        <v>2022</v>
      </c>
      <c r="B241" t="s">
        <v>24</v>
      </c>
      <c r="C241" t="s">
        <v>10</v>
      </c>
      <c r="D241">
        <v>9352</v>
      </c>
      <c r="E241">
        <v>11.88</v>
      </c>
      <c r="F241">
        <v>496.88</v>
      </c>
    </row>
    <row r="242" customFormat="1" spans="1:6">
      <c r="A242">
        <v>2022</v>
      </c>
      <c r="B242" t="s">
        <v>25</v>
      </c>
      <c r="C242" t="s">
        <v>11</v>
      </c>
      <c r="D242">
        <v>6699</v>
      </c>
      <c r="E242">
        <v>20.75</v>
      </c>
      <c r="F242">
        <v>382.92</v>
      </c>
    </row>
    <row r="243" customFormat="1" spans="1:6">
      <c r="A243">
        <v>2022</v>
      </c>
      <c r="B243" t="s">
        <v>25</v>
      </c>
      <c r="C243" t="s">
        <v>12</v>
      </c>
      <c r="D243">
        <v>7944</v>
      </c>
      <c r="E243">
        <v>10.89</v>
      </c>
      <c r="F243">
        <v>425.76</v>
      </c>
    </row>
    <row r="244" customFormat="1" spans="1:6">
      <c r="A244">
        <v>2022</v>
      </c>
      <c r="B244" t="s">
        <v>25</v>
      </c>
      <c r="C244" t="s">
        <v>13</v>
      </c>
      <c r="D244">
        <v>5493</v>
      </c>
      <c r="E244">
        <v>29.93</v>
      </c>
      <c r="F244">
        <v>317.84</v>
      </c>
    </row>
    <row r="245" customFormat="1" spans="1:6">
      <c r="A245">
        <v>2022</v>
      </c>
      <c r="B245" t="s">
        <v>25</v>
      </c>
      <c r="C245" t="s">
        <v>14</v>
      </c>
      <c r="D245">
        <v>5911</v>
      </c>
      <c r="E245">
        <v>29.05</v>
      </c>
      <c r="F245">
        <v>318.12</v>
      </c>
    </row>
    <row r="246" customFormat="1" spans="1:6">
      <c r="A246">
        <v>2022</v>
      </c>
      <c r="B246" t="s">
        <v>25</v>
      </c>
      <c r="C246" t="s">
        <v>15</v>
      </c>
      <c r="D246">
        <v>4987</v>
      </c>
      <c r="E246">
        <v>43.25</v>
      </c>
      <c r="F246">
        <v>245.08</v>
      </c>
    </row>
    <row r="247" customFormat="1" spans="1:6">
      <c r="A247">
        <v>2022</v>
      </c>
      <c r="B247" t="s">
        <v>25</v>
      </c>
      <c r="C247" t="s">
        <v>16</v>
      </c>
      <c r="D247">
        <v>7015</v>
      </c>
      <c r="E247">
        <v>22.31</v>
      </c>
      <c r="F247">
        <v>369.48</v>
      </c>
    </row>
    <row r="248" customFormat="1" spans="1:6">
      <c r="A248">
        <v>2022</v>
      </c>
      <c r="B248" t="s">
        <v>25</v>
      </c>
      <c r="C248" t="s">
        <v>17</v>
      </c>
      <c r="D248">
        <v>2218</v>
      </c>
      <c r="E248">
        <v>42.66</v>
      </c>
      <c r="F248">
        <v>133.87</v>
      </c>
    </row>
    <row r="249" customFormat="1" spans="1:6">
      <c r="A249">
        <v>2022</v>
      </c>
      <c r="B249" t="s">
        <v>25</v>
      </c>
      <c r="C249" t="s">
        <v>8</v>
      </c>
      <c r="D249">
        <v>5496</v>
      </c>
      <c r="E249">
        <v>48.72</v>
      </c>
      <c r="F249">
        <v>270.95</v>
      </c>
    </row>
    <row r="250" customFormat="1" spans="1:6">
      <c r="A250">
        <v>2022</v>
      </c>
      <c r="B250" t="s">
        <v>25</v>
      </c>
      <c r="C250" t="s">
        <v>9</v>
      </c>
      <c r="D250">
        <v>5735</v>
      </c>
      <c r="E250">
        <v>13.54</v>
      </c>
      <c r="F250">
        <v>329.15</v>
      </c>
    </row>
    <row r="251" customFormat="1" spans="1:6">
      <c r="A251">
        <v>2022</v>
      </c>
      <c r="B251" t="s">
        <v>25</v>
      </c>
      <c r="C251" t="s">
        <v>10</v>
      </c>
      <c r="D251">
        <v>5555</v>
      </c>
      <c r="E251">
        <v>41.67</v>
      </c>
      <c r="F251">
        <v>288.56</v>
      </c>
    </row>
    <row r="252" customFormat="1" spans="1:6">
      <c r="A252">
        <v>2022</v>
      </c>
      <c r="B252" t="s">
        <v>25</v>
      </c>
      <c r="C252" t="s">
        <v>11</v>
      </c>
      <c r="D252">
        <v>9050</v>
      </c>
      <c r="E252">
        <v>33.6</v>
      </c>
      <c r="F252">
        <v>464.84</v>
      </c>
    </row>
    <row r="253" customFormat="1" spans="1:6">
      <c r="A253">
        <v>2022</v>
      </c>
      <c r="B253" t="s">
        <v>25</v>
      </c>
      <c r="C253" t="s">
        <v>12</v>
      </c>
      <c r="D253">
        <v>4446</v>
      </c>
      <c r="E253">
        <v>29.2</v>
      </c>
      <c r="F253">
        <v>247.66</v>
      </c>
    </row>
    <row r="254" customFormat="1" spans="1:6">
      <c r="A254">
        <v>2022</v>
      </c>
      <c r="B254" t="s">
        <v>25</v>
      </c>
      <c r="C254" t="s">
        <v>13</v>
      </c>
      <c r="D254">
        <v>2045</v>
      </c>
      <c r="E254">
        <v>26.82</v>
      </c>
      <c r="F254">
        <v>117.7</v>
      </c>
    </row>
    <row r="255" customFormat="1" spans="1:6">
      <c r="A255">
        <v>2022</v>
      </c>
      <c r="B255" t="s">
        <v>25</v>
      </c>
      <c r="C255" t="s">
        <v>14</v>
      </c>
      <c r="D255">
        <v>7893</v>
      </c>
      <c r="E255">
        <v>41.39</v>
      </c>
      <c r="F255">
        <v>393.99</v>
      </c>
    </row>
    <row r="256" customFormat="1" spans="1:6">
      <c r="A256">
        <v>2022</v>
      </c>
      <c r="B256" t="s">
        <v>25</v>
      </c>
      <c r="C256" t="s">
        <v>15</v>
      </c>
      <c r="D256">
        <v>2693</v>
      </c>
      <c r="E256">
        <v>35.57</v>
      </c>
      <c r="F256">
        <v>119.58</v>
      </c>
    </row>
    <row r="257" customFormat="1" spans="1:6">
      <c r="A257">
        <v>2022</v>
      </c>
      <c r="B257" t="s">
        <v>25</v>
      </c>
      <c r="C257" t="s">
        <v>16</v>
      </c>
      <c r="D257">
        <v>4436</v>
      </c>
      <c r="E257">
        <v>42.2</v>
      </c>
      <c r="F257">
        <v>227.11</v>
      </c>
    </row>
    <row r="258" customFormat="1" spans="1:6">
      <c r="A258">
        <v>2022</v>
      </c>
      <c r="B258" t="s">
        <v>25</v>
      </c>
      <c r="C258" t="s">
        <v>17</v>
      </c>
      <c r="D258">
        <v>9754</v>
      </c>
      <c r="E258">
        <v>46.13</v>
      </c>
      <c r="F258">
        <v>447.96</v>
      </c>
    </row>
    <row r="259" customFormat="1" spans="1:6">
      <c r="A259">
        <v>2022</v>
      </c>
      <c r="B259" t="s">
        <v>25</v>
      </c>
      <c r="C259" t="s">
        <v>8</v>
      </c>
      <c r="D259">
        <v>6895</v>
      </c>
      <c r="E259">
        <v>34.69</v>
      </c>
      <c r="F259">
        <v>358.79</v>
      </c>
    </row>
    <row r="260" customFormat="1" spans="1:6">
      <c r="A260">
        <v>2022</v>
      </c>
      <c r="B260" t="s">
        <v>25</v>
      </c>
      <c r="C260" t="s">
        <v>9</v>
      </c>
      <c r="D260">
        <v>4354</v>
      </c>
      <c r="E260">
        <v>49.22</v>
      </c>
      <c r="F260">
        <v>203.03</v>
      </c>
    </row>
    <row r="261" customFormat="1" spans="1:6">
      <c r="A261">
        <v>2022</v>
      </c>
      <c r="B261" t="s">
        <v>25</v>
      </c>
      <c r="C261" t="s">
        <v>10</v>
      </c>
      <c r="D261">
        <v>1225</v>
      </c>
      <c r="E261">
        <v>34.32</v>
      </c>
      <c r="F261">
        <v>77.55</v>
      </c>
    </row>
    <row r="262" customFormat="1" spans="1:6">
      <c r="A262">
        <v>2022</v>
      </c>
      <c r="B262" t="s">
        <v>25</v>
      </c>
      <c r="C262" t="s">
        <v>11</v>
      </c>
      <c r="D262">
        <v>5893</v>
      </c>
      <c r="E262">
        <v>35.47</v>
      </c>
      <c r="F262">
        <v>281.11</v>
      </c>
    </row>
    <row r="263" customFormat="1" spans="1:6">
      <c r="A263">
        <v>2022</v>
      </c>
      <c r="B263" t="s">
        <v>25</v>
      </c>
      <c r="C263" t="s">
        <v>12</v>
      </c>
      <c r="D263">
        <v>8022</v>
      </c>
      <c r="E263">
        <v>32.19</v>
      </c>
      <c r="F263">
        <v>370.08</v>
      </c>
    </row>
    <row r="264" customFormat="1" spans="1:6">
      <c r="A264">
        <v>2022</v>
      </c>
      <c r="B264" t="s">
        <v>25</v>
      </c>
      <c r="C264" t="s">
        <v>13</v>
      </c>
      <c r="D264">
        <v>6600</v>
      </c>
      <c r="E264">
        <v>13.64</v>
      </c>
      <c r="F264">
        <v>356.61</v>
      </c>
    </row>
    <row r="265" customFormat="1" spans="1:6">
      <c r="A265">
        <v>2022</v>
      </c>
      <c r="B265" t="s">
        <v>25</v>
      </c>
      <c r="C265" t="s">
        <v>14</v>
      </c>
      <c r="D265">
        <v>8996</v>
      </c>
      <c r="E265">
        <v>39.06</v>
      </c>
      <c r="F265">
        <v>432.01</v>
      </c>
    </row>
    <row r="266" customFormat="1" spans="1:6">
      <c r="A266">
        <v>2022</v>
      </c>
      <c r="B266" t="s">
        <v>25</v>
      </c>
      <c r="C266" t="s">
        <v>15</v>
      </c>
      <c r="D266">
        <v>8683</v>
      </c>
      <c r="E266">
        <v>31.9</v>
      </c>
      <c r="F266">
        <v>410.26</v>
      </c>
    </row>
    <row r="267" customFormat="1" spans="1:6">
      <c r="A267">
        <v>2022</v>
      </c>
      <c r="B267" t="s">
        <v>25</v>
      </c>
      <c r="C267" t="s">
        <v>16</v>
      </c>
      <c r="D267">
        <v>5642</v>
      </c>
      <c r="E267">
        <v>28.04</v>
      </c>
      <c r="F267">
        <v>313.82</v>
      </c>
    </row>
    <row r="268" customFormat="1" spans="1:6">
      <c r="A268">
        <v>2022</v>
      </c>
      <c r="B268" t="s">
        <v>25</v>
      </c>
      <c r="C268" t="s">
        <v>17</v>
      </c>
      <c r="D268">
        <v>8679</v>
      </c>
      <c r="E268">
        <v>46.42</v>
      </c>
      <c r="F268">
        <v>460.27</v>
      </c>
    </row>
    <row r="269" customFormat="1" spans="1:6">
      <c r="A269">
        <v>2022</v>
      </c>
      <c r="B269" t="s">
        <v>25</v>
      </c>
      <c r="C269" t="s">
        <v>8</v>
      </c>
      <c r="D269">
        <v>9208</v>
      </c>
      <c r="E269">
        <v>21.92</v>
      </c>
      <c r="F269">
        <v>468.16</v>
      </c>
    </row>
    <row r="270" customFormat="1" spans="1:6">
      <c r="A270">
        <v>2022</v>
      </c>
      <c r="B270" t="s">
        <v>25</v>
      </c>
      <c r="C270" t="s">
        <v>9</v>
      </c>
      <c r="D270">
        <v>8339</v>
      </c>
      <c r="E270">
        <v>30.94</v>
      </c>
      <c r="F270">
        <v>428.3</v>
      </c>
    </row>
    <row r="271" customFormat="1" spans="1:6">
      <c r="A271">
        <v>2022</v>
      </c>
      <c r="B271" t="s">
        <v>25</v>
      </c>
      <c r="C271" t="s">
        <v>10</v>
      </c>
      <c r="D271">
        <v>3205</v>
      </c>
      <c r="E271">
        <v>37.91</v>
      </c>
      <c r="F271">
        <v>158.61</v>
      </c>
    </row>
    <row r="272" customFormat="1" spans="1:6">
      <c r="A272">
        <v>2022</v>
      </c>
      <c r="B272" t="s">
        <v>26</v>
      </c>
      <c r="C272" t="s">
        <v>11</v>
      </c>
      <c r="D272">
        <v>2069</v>
      </c>
      <c r="E272">
        <v>41.86</v>
      </c>
      <c r="F272">
        <v>90.04</v>
      </c>
    </row>
    <row r="273" customFormat="1" spans="1:6">
      <c r="A273">
        <v>2022</v>
      </c>
      <c r="B273" t="s">
        <v>26</v>
      </c>
      <c r="C273" t="s">
        <v>12</v>
      </c>
      <c r="D273">
        <v>4444</v>
      </c>
      <c r="E273">
        <v>28.37</v>
      </c>
      <c r="F273">
        <v>251.43</v>
      </c>
    </row>
    <row r="274" customFormat="1" spans="1:6">
      <c r="A274">
        <v>2022</v>
      </c>
      <c r="B274" t="s">
        <v>26</v>
      </c>
      <c r="C274" t="s">
        <v>13</v>
      </c>
      <c r="D274">
        <v>2060</v>
      </c>
      <c r="E274">
        <v>43.68</v>
      </c>
      <c r="F274">
        <v>120.78</v>
      </c>
    </row>
    <row r="275" customFormat="1" spans="1:6">
      <c r="A275">
        <v>2022</v>
      </c>
      <c r="B275" t="s">
        <v>26</v>
      </c>
      <c r="C275" t="s">
        <v>14</v>
      </c>
      <c r="D275">
        <v>3327</v>
      </c>
      <c r="E275">
        <v>40.76</v>
      </c>
      <c r="F275">
        <v>150.07</v>
      </c>
    </row>
    <row r="276" customFormat="1" spans="1:6">
      <c r="A276">
        <v>2022</v>
      </c>
      <c r="B276" t="s">
        <v>26</v>
      </c>
      <c r="C276" t="s">
        <v>15</v>
      </c>
      <c r="D276">
        <v>4420</v>
      </c>
      <c r="E276">
        <v>12.65</v>
      </c>
      <c r="F276">
        <v>256.72</v>
      </c>
    </row>
    <row r="277" customFormat="1" spans="1:6">
      <c r="A277">
        <v>2022</v>
      </c>
      <c r="B277" t="s">
        <v>26</v>
      </c>
      <c r="C277" t="s">
        <v>16</v>
      </c>
      <c r="D277">
        <v>1301</v>
      </c>
      <c r="E277">
        <v>11.83</v>
      </c>
      <c r="F277">
        <v>126.54</v>
      </c>
    </row>
    <row r="278" customFormat="1" spans="1:6">
      <c r="A278">
        <v>2022</v>
      </c>
      <c r="B278" t="s">
        <v>26</v>
      </c>
      <c r="C278" t="s">
        <v>17</v>
      </c>
      <c r="D278">
        <v>1606</v>
      </c>
      <c r="E278">
        <v>34.83</v>
      </c>
      <c r="F278">
        <v>102.28</v>
      </c>
    </row>
    <row r="279" customFormat="1" spans="1:6">
      <c r="A279">
        <v>2022</v>
      </c>
      <c r="B279" t="s">
        <v>26</v>
      </c>
      <c r="C279" t="s">
        <v>8</v>
      </c>
      <c r="D279">
        <v>4170</v>
      </c>
      <c r="E279">
        <v>23.9</v>
      </c>
      <c r="F279">
        <v>246.58</v>
      </c>
    </row>
    <row r="280" customFormat="1" spans="1:6">
      <c r="A280">
        <v>2022</v>
      </c>
      <c r="B280" t="s">
        <v>26</v>
      </c>
      <c r="C280" t="s">
        <v>9</v>
      </c>
      <c r="D280">
        <v>1699</v>
      </c>
      <c r="E280">
        <v>18.37</v>
      </c>
      <c r="F280">
        <v>140.27</v>
      </c>
    </row>
    <row r="281" customFormat="1" spans="1:6">
      <c r="A281">
        <v>2022</v>
      </c>
      <c r="B281" t="s">
        <v>26</v>
      </c>
      <c r="C281" t="s">
        <v>10</v>
      </c>
      <c r="D281">
        <v>6088</v>
      </c>
      <c r="E281">
        <v>33.19</v>
      </c>
      <c r="F281">
        <v>341.67</v>
      </c>
    </row>
    <row r="282" customFormat="1" spans="1:6">
      <c r="A282">
        <v>2022</v>
      </c>
      <c r="B282" t="s">
        <v>26</v>
      </c>
      <c r="C282" t="s">
        <v>11</v>
      </c>
      <c r="D282">
        <v>1190</v>
      </c>
      <c r="E282">
        <v>23.66</v>
      </c>
      <c r="F282">
        <v>101.68</v>
      </c>
    </row>
    <row r="283" customFormat="1" spans="1:6">
      <c r="A283">
        <v>2022</v>
      </c>
      <c r="B283" t="s">
        <v>26</v>
      </c>
      <c r="C283" t="s">
        <v>12</v>
      </c>
      <c r="D283">
        <v>1980</v>
      </c>
      <c r="E283">
        <v>31.49</v>
      </c>
      <c r="F283">
        <v>114.11</v>
      </c>
    </row>
    <row r="284" customFormat="1" spans="1:6">
      <c r="A284">
        <v>2022</v>
      </c>
      <c r="B284" t="s">
        <v>26</v>
      </c>
      <c r="C284" t="s">
        <v>13</v>
      </c>
      <c r="D284">
        <v>3975</v>
      </c>
      <c r="E284">
        <v>28.4</v>
      </c>
      <c r="F284">
        <v>207.01</v>
      </c>
    </row>
    <row r="285" customFormat="1" spans="1:6">
      <c r="A285">
        <v>2022</v>
      </c>
      <c r="B285" t="s">
        <v>26</v>
      </c>
      <c r="C285" t="s">
        <v>14</v>
      </c>
      <c r="D285">
        <v>7102</v>
      </c>
      <c r="E285">
        <v>33.39</v>
      </c>
      <c r="F285">
        <v>367.1</v>
      </c>
    </row>
    <row r="286" customFormat="1" spans="1:6">
      <c r="A286">
        <v>2022</v>
      </c>
      <c r="B286" t="s">
        <v>26</v>
      </c>
      <c r="C286" t="s">
        <v>15</v>
      </c>
      <c r="D286">
        <v>2184</v>
      </c>
      <c r="E286">
        <v>26.01</v>
      </c>
      <c r="F286">
        <v>117.3</v>
      </c>
    </row>
    <row r="287" customFormat="1" spans="1:6">
      <c r="A287">
        <v>2022</v>
      </c>
      <c r="B287" t="s">
        <v>26</v>
      </c>
      <c r="C287" t="s">
        <v>16</v>
      </c>
      <c r="D287">
        <v>4327</v>
      </c>
      <c r="E287">
        <v>37.91</v>
      </c>
      <c r="F287">
        <v>181.81</v>
      </c>
    </row>
    <row r="288" customFormat="1" spans="1:6">
      <c r="A288">
        <v>2022</v>
      </c>
      <c r="B288" t="s">
        <v>26</v>
      </c>
      <c r="C288" t="s">
        <v>17</v>
      </c>
      <c r="D288">
        <v>4394</v>
      </c>
      <c r="E288">
        <v>17.2</v>
      </c>
      <c r="F288">
        <v>243.47</v>
      </c>
    </row>
    <row r="289" customFormat="1" spans="1:6">
      <c r="A289">
        <v>2022</v>
      </c>
      <c r="B289" t="s">
        <v>26</v>
      </c>
      <c r="C289" t="s">
        <v>8</v>
      </c>
      <c r="D289">
        <v>9319</v>
      </c>
      <c r="E289">
        <v>37.86</v>
      </c>
      <c r="F289">
        <v>477.67</v>
      </c>
    </row>
    <row r="290" customFormat="1" spans="1:6">
      <c r="A290">
        <v>2022</v>
      </c>
      <c r="B290" t="s">
        <v>26</v>
      </c>
      <c r="C290" t="s">
        <v>9</v>
      </c>
      <c r="D290">
        <v>2816</v>
      </c>
      <c r="E290">
        <v>26.47</v>
      </c>
      <c r="F290">
        <v>147.29</v>
      </c>
    </row>
    <row r="291" customFormat="1" spans="1:6">
      <c r="A291">
        <v>2022</v>
      </c>
      <c r="B291" t="s">
        <v>26</v>
      </c>
      <c r="C291" t="s">
        <v>10</v>
      </c>
      <c r="D291">
        <v>6854</v>
      </c>
      <c r="E291">
        <v>44.97</v>
      </c>
      <c r="F291">
        <v>334.88</v>
      </c>
    </row>
    <row r="292" customFormat="1" spans="1:6">
      <c r="A292">
        <v>2022</v>
      </c>
      <c r="B292" t="s">
        <v>26</v>
      </c>
      <c r="C292" t="s">
        <v>11</v>
      </c>
      <c r="D292">
        <v>7709</v>
      </c>
      <c r="E292">
        <v>30.61</v>
      </c>
      <c r="F292">
        <v>395.64</v>
      </c>
    </row>
    <row r="293" customFormat="1" spans="1:6">
      <c r="A293">
        <v>2022</v>
      </c>
      <c r="B293" t="s">
        <v>26</v>
      </c>
      <c r="C293" t="s">
        <v>12</v>
      </c>
      <c r="D293">
        <v>1569</v>
      </c>
      <c r="E293">
        <v>48.92</v>
      </c>
      <c r="F293">
        <v>96.88</v>
      </c>
    </row>
    <row r="294" customFormat="1" spans="1:6">
      <c r="A294">
        <v>2022</v>
      </c>
      <c r="B294" t="s">
        <v>26</v>
      </c>
      <c r="C294" t="s">
        <v>13</v>
      </c>
      <c r="D294">
        <v>6442</v>
      </c>
      <c r="E294">
        <v>34.08</v>
      </c>
      <c r="F294">
        <v>324.02</v>
      </c>
    </row>
    <row r="295" customFormat="1" spans="1:6">
      <c r="A295">
        <v>2022</v>
      </c>
      <c r="B295" t="s">
        <v>26</v>
      </c>
      <c r="C295" t="s">
        <v>14</v>
      </c>
      <c r="D295">
        <v>2895</v>
      </c>
      <c r="E295">
        <v>18.95</v>
      </c>
      <c r="F295">
        <v>199.14</v>
      </c>
    </row>
    <row r="296" customFormat="1" spans="1:6">
      <c r="A296">
        <v>2022</v>
      </c>
      <c r="B296" t="s">
        <v>26</v>
      </c>
      <c r="C296" t="s">
        <v>15</v>
      </c>
      <c r="D296">
        <v>3733</v>
      </c>
      <c r="E296">
        <v>42.87</v>
      </c>
      <c r="F296">
        <v>130.95</v>
      </c>
    </row>
    <row r="297" customFormat="1" spans="1:6">
      <c r="A297">
        <v>2022</v>
      </c>
      <c r="B297" t="s">
        <v>26</v>
      </c>
      <c r="C297" t="s">
        <v>16</v>
      </c>
      <c r="D297">
        <v>4863</v>
      </c>
      <c r="E297">
        <v>23.8</v>
      </c>
      <c r="F297">
        <v>291.54</v>
      </c>
    </row>
    <row r="298" customFormat="1" spans="1:6">
      <c r="A298">
        <v>2022</v>
      </c>
      <c r="B298" t="s">
        <v>26</v>
      </c>
      <c r="C298" t="s">
        <v>17</v>
      </c>
      <c r="D298">
        <v>8455</v>
      </c>
      <c r="E298">
        <v>23.9</v>
      </c>
      <c r="F298">
        <v>470.01</v>
      </c>
    </row>
    <row r="299" customFormat="1" spans="1:6">
      <c r="A299">
        <v>2022</v>
      </c>
      <c r="B299" t="s">
        <v>26</v>
      </c>
      <c r="C299" t="s">
        <v>8</v>
      </c>
      <c r="D299">
        <v>5014</v>
      </c>
      <c r="E299">
        <v>11.27</v>
      </c>
      <c r="F299">
        <v>305.22</v>
      </c>
    </row>
    <row r="300" customFormat="1" spans="1:6">
      <c r="A300">
        <v>2022</v>
      </c>
      <c r="B300" t="s">
        <v>26</v>
      </c>
      <c r="C300" t="s">
        <v>9</v>
      </c>
      <c r="D300">
        <v>2686</v>
      </c>
      <c r="E300">
        <v>31.95</v>
      </c>
      <c r="F300">
        <v>105.72</v>
      </c>
    </row>
    <row r="301" customFormat="1" spans="1:6">
      <c r="A301">
        <v>2022</v>
      </c>
      <c r="B301" t="s">
        <v>26</v>
      </c>
      <c r="C301" t="s">
        <v>10</v>
      </c>
      <c r="D301">
        <v>4009</v>
      </c>
      <c r="E301">
        <v>31.38</v>
      </c>
      <c r="F301">
        <v>233.18</v>
      </c>
    </row>
    <row r="302" customFormat="1" spans="1:6">
      <c r="A302">
        <v>2022</v>
      </c>
      <c r="B302" t="s">
        <v>26</v>
      </c>
      <c r="C302" t="s">
        <v>11</v>
      </c>
      <c r="D302">
        <v>8806</v>
      </c>
      <c r="E302">
        <v>24.24</v>
      </c>
      <c r="F302">
        <v>460.21</v>
      </c>
    </row>
    <row r="303" customFormat="1" spans="1:6">
      <c r="A303">
        <v>2022</v>
      </c>
      <c r="B303" t="s">
        <v>27</v>
      </c>
      <c r="C303" t="s">
        <v>12</v>
      </c>
      <c r="D303">
        <v>1154</v>
      </c>
      <c r="E303">
        <v>45.77</v>
      </c>
      <c r="F303">
        <v>2.19</v>
      </c>
    </row>
    <row r="304" customFormat="1" spans="1:6">
      <c r="A304">
        <v>2022</v>
      </c>
      <c r="B304" t="s">
        <v>27</v>
      </c>
      <c r="C304" t="s">
        <v>13</v>
      </c>
      <c r="D304">
        <v>2409</v>
      </c>
      <c r="E304">
        <v>15.15</v>
      </c>
      <c r="F304">
        <v>178.23</v>
      </c>
    </row>
    <row r="305" customFormat="1" spans="1:6">
      <c r="A305">
        <v>2022</v>
      </c>
      <c r="B305" t="s">
        <v>27</v>
      </c>
      <c r="C305" t="s">
        <v>14</v>
      </c>
      <c r="D305">
        <v>1784</v>
      </c>
      <c r="E305">
        <v>23.2</v>
      </c>
      <c r="F305">
        <v>140.24</v>
      </c>
    </row>
    <row r="306" customFormat="1" spans="1:6">
      <c r="A306">
        <v>2022</v>
      </c>
      <c r="B306" t="s">
        <v>27</v>
      </c>
      <c r="C306" t="s">
        <v>15</v>
      </c>
      <c r="D306">
        <v>9096</v>
      </c>
      <c r="E306">
        <v>22.86</v>
      </c>
      <c r="F306">
        <v>439.27</v>
      </c>
    </row>
    <row r="307" customFormat="1" spans="1:6">
      <c r="A307">
        <v>2022</v>
      </c>
      <c r="B307" t="s">
        <v>27</v>
      </c>
      <c r="C307" t="s">
        <v>16</v>
      </c>
      <c r="D307">
        <v>8560</v>
      </c>
      <c r="E307">
        <v>13.69</v>
      </c>
      <c r="F307">
        <v>465.08</v>
      </c>
    </row>
    <row r="308" customFormat="1" spans="1:6">
      <c r="A308">
        <v>2022</v>
      </c>
      <c r="B308" t="s">
        <v>27</v>
      </c>
      <c r="C308" t="s">
        <v>17</v>
      </c>
      <c r="D308">
        <v>8343</v>
      </c>
      <c r="E308">
        <v>29.25</v>
      </c>
      <c r="F308">
        <v>459.83</v>
      </c>
    </row>
    <row r="309" customFormat="1" spans="1:6">
      <c r="A309">
        <v>2022</v>
      </c>
      <c r="B309" t="s">
        <v>27</v>
      </c>
      <c r="C309" t="s">
        <v>8</v>
      </c>
      <c r="D309">
        <v>8206</v>
      </c>
      <c r="E309">
        <v>37.51</v>
      </c>
      <c r="F309">
        <v>439.89</v>
      </c>
    </row>
    <row r="310" customFormat="1" spans="1:6">
      <c r="A310">
        <v>2022</v>
      </c>
      <c r="B310" t="s">
        <v>27</v>
      </c>
      <c r="C310" t="s">
        <v>9</v>
      </c>
      <c r="D310">
        <v>6596</v>
      </c>
      <c r="E310">
        <v>30.47</v>
      </c>
      <c r="F310">
        <v>359.96</v>
      </c>
    </row>
    <row r="311" customFormat="1" spans="1:6">
      <c r="A311">
        <v>2022</v>
      </c>
      <c r="B311" t="s">
        <v>27</v>
      </c>
      <c r="C311" t="s">
        <v>10</v>
      </c>
      <c r="D311">
        <v>6801</v>
      </c>
      <c r="E311">
        <v>16.28</v>
      </c>
      <c r="F311">
        <v>317.57</v>
      </c>
    </row>
    <row r="312" customFormat="1" spans="1:6">
      <c r="A312">
        <v>2022</v>
      </c>
      <c r="B312" t="s">
        <v>27</v>
      </c>
      <c r="C312" t="s">
        <v>11</v>
      </c>
      <c r="D312">
        <v>3806</v>
      </c>
      <c r="E312">
        <v>25.09</v>
      </c>
      <c r="F312">
        <v>224.78</v>
      </c>
    </row>
    <row r="313" customFormat="1" spans="1:6">
      <c r="A313">
        <v>2022</v>
      </c>
      <c r="B313" t="s">
        <v>27</v>
      </c>
      <c r="C313" t="s">
        <v>12</v>
      </c>
      <c r="D313">
        <v>1537</v>
      </c>
      <c r="E313">
        <v>10.1</v>
      </c>
      <c r="F313">
        <v>110.36</v>
      </c>
    </row>
    <row r="314" customFormat="1" spans="1:6">
      <c r="A314">
        <v>2022</v>
      </c>
      <c r="B314" t="s">
        <v>27</v>
      </c>
      <c r="C314" t="s">
        <v>13</v>
      </c>
      <c r="D314">
        <v>6986</v>
      </c>
      <c r="E314">
        <v>44.73</v>
      </c>
      <c r="F314">
        <v>365.54</v>
      </c>
    </row>
    <row r="315" customFormat="1" spans="1:6">
      <c r="A315">
        <v>2022</v>
      </c>
      <c r="B315" t="s">
        <v>27</v>
      </c>
      <c r="C315" t="s">
        <v>14</v>
      </c>
      <c r="D315">
        <v>2841</v>
      </c>
      <c r="E315">
        <v>13.38</v>
      </c>
      <c r="F315">
        <v>181.12</v>
      </c>
    </row>
    <row r="316" customFormat="1" spans="1:6">
      <c r="A316">
        <v>2022</v>
      </c>
      <c r="B316" t="s">
        <v>27</v>
      </c>
      <c r="C316" t="s">
        <v>15</v>
      </c>
      <c r="D316">
        <v>9716</v>
      </c>
      <c r="E316">
        <v>33.89</v>
      </c>
      <c r="F316">
        <v>494.73</v>
      </c>
    </row>
    <row r="317" customFormat="1" spans="1:6">
      <c r="A317">
        <v>2022</v>
      </c>
      <c r="B317" t="s">
        <v>27</v>
      </c>
      <c r="C317" t="s">
        <v>16</v>
      </c>
      <c r="D317">
        <v>7971</v>
      </c>
      <c r="E317">
        <v>49.45</v>
      </c>
      <c r="F317">
        <v>402.03</v>
      </c>
    </row>
    <row r="318" customFormat="1" spans="1:6">
      <c r="A318">
        <v>2022</v>
      </c>
      <c r="B318" t="s">
        <v>27</v>
      </c>
      <c r="C318" t="s">
        <v>17</v>
      </c>
      <c r="D318">
        <v>6625</v>
      </c>
      <c r="E318">
        <v>31.46</v>
      </c>
      <c r="F318">
        <v>340.06</v>
      </c>
    </row>
    <row r="319" customFormat="1" spans="1:6">
      <c r="A319">
        <v>2022</v>
      </c>
      <c r="B319" t="s">
        <v>28</v>
      </c>
      <c r="C319" t="s">
        <v>8</v>
      </c>
      <c r="D319">
        <v>3950</v>
      </c>
      <c r="E319">
        <v>46.96</v>
      </c>
      <c r="F319">
        <v>190.66</v>
      </c>
    </row>
    <row r="320" customFormat="1" spans="1:6">
      <c r="A320">
        <v>2022</v>
      </c>
      <c r="B320" t="s">
        <v>28</v>
      </c>
      <c r="C320" t="s">
        <v>9</v>
      </c>
      <c r="D320">
        <v>8992</v>
      </c>
      <c r="E320">
        <v>19.44</v>
      </c>
      <c r="F320">
        <v>465.16</v>
      </c>
    </row>
    <row r="321" customFormat="1" spans="1:6">
      <c r="A321">
        <v>2022</v>
      </c>
      <c r="B321" t="s">
        <v>28</v>
      </c>
      <c r="C321" t="s">
        <v>10</v>
      </c>
      <c r="D321">
        <v>5780</v>
      </c>
      <c r="E321">
        <v>40.4</v>
      </c>
      <c r="F321">
        <v>258.41</v>
      </c>
    </row>
    <row r="322" customFormat="1" spans="1:6">
      <c r="A322">
        <v>2022</v>
      </c>
      <c r="B322" t="s">
        <v>28</v>
      </c>
      <c r="C322" t="s">
        <v>11</v>
      </c>
      <c r="D322">
        <v>3368</v>
      </c>
      <c r="E322">
        <v>31.25</v>
      </c>
      <c r="F322">
        <v>192.26</v>
      </c>
    </row>
    <row r="323" customFormat="1" spans="1:6">
      <c r="A323">
        <v>2022</v>
      </c>
      <c r="B323" t="s">
        <v>28</v>
      </c>
      <c r="C323" t="s">
        <v>12</v>
      </c>
      <c r="D323">
        <v>7655</v>
      </c>
      <c r="E323">
        <v>38.82</v>
      </c>
      <c r="F323">
        <v>370.04</v>
      </c>
    </row>
    <row r="324" customFormat="1" spans="1:6">
      <c r="A324">
        <v>2022</v>
      </c>
      <c r="B324" t="s">
        <v>28</v>
      </c>
      <c r="C324" t="s">
        <v>13</v>
      </c>
      <c r="D324">
        <v>9173</v>
      </c>
      <c r="E324">
        <v>12.49</v>
      </c>
      <c r="F324">
        <v>489.64</v>
      </c>
    </row>
    <row r="325" customFormat="1" spans="1:6">
      <c r="A325">
        <v>2022</v>
      </c>
      <c r="B325" t="s">
        <v>28</v>
      </c>
      <c r="C325" t="s">
        <v>14</v>
      </c>
      <c r="D325">
        <v>5495</v>
      </c>
      <c r="E325">
        <v>15.91</v>
      </c>
      <c r="F325">
        <v>311.4</v>
      </c>
    </row>
    <row r="326" customFormat="1" spans="1:6">
      <c r="A326">
        <v>2022</v>
      </c>
      <c r="B326" t="s">
        <v>28</v>
      </c>
      <c r="C326" t="s">
        <v>15</v>
      </c>
      <c r="D326">
        <v>7002</v>
      </c>
      <c r="E326">
        <v>15.32</v>
      </c>
      <c r="F326">
        <v>340.01</v>
      </c>
    </row>
    <row r="327" customFormat="1" spans="1:6">
      <c r="A327">
        <v>2022</v>
      </c>
      <c r="B327" t="s">
        <v>28</v>
      </c>
      <c r="C327" t="s">
        <v>16</v>
      </c>
      <c r="D327">
        <v>7614</v>
      </c>
      <c r="E327">
        <v>37.49</v>
      </c>
      <c r="F327">
        <v>348.49</v>
      </c>
    </row>
    <row r="328" customFormat="1" spans="1:6">
      <c r="A328">
        <v>2022</v>
      </c>
      <c r="B328" t="s">
        <v>28</v>
      </c>
      <c r="C328" t="s">
        <v>17</v>
      </c>
      <c r="D328">
        <v>6919</v>
      </c>
      <c r="E328">
        <v>43.78</v>
      </c>
      <c r="F328">
        <v>337.42</v>
      </c>
    </row>
    <row r="329" customFormat="1" spans="1:6">
      <c r="A329">
        <v>2022</v>
      </c>
      <c r="B329" t="s">
        <v>28</v>
      </c>
      <c r="C329" t="s">
        <v>8</v>
      </c>
      <c r="D329">
        <v>1853</v>
      </c>
      <c r="E329">
        <v>39.98</v>
      </c>
      <c r="F329">
        <v>103.76</v>
      </c>
    </row>
    <row r="330" customFormat="1" spans="1:6">
      <c r="A330">
        <v>2022</v>
      </c>
      <c r="B330" t="s">
        <v>28</v>
      </c>
      <c r="C330" t="s">
        <v>9</v>
      </c>
      <c r="D330">
        <v>5146</v>
      </c>
      <c r="E330">
        <v>11.22</v>
      </c>
      <c r="F330">
        <v>308.72</v>
      </c>
    </row>
    <row r="331" customFormat="1" spans="1:6">
      <c r="A331">
        <v>2022</v>
      </c>
      <c r="B331" t="s">
        <v>28</v>
      </c>
      <c r="C331" t="s">
        <v>10</v>
      </c>
      <c r="D331">
        <v>4769</v>
      </c>
      <c r="E331">
        <v>44.69</v>
      </c>
      <c r="F331">
        <v>203</v>
      </c>
    </row>
    <row r="332" customFormat="1" spans="1:6">
      <c r="A332">
        <v>2022</v>
      </c>
      <c r="B332" t="s">
        <v>28</v>
      </c>
      <c r="C332" t="s">
        <v>11</v>
      </c>
      <c r="D332">
        <v>1574</v>
      </c>
      <c r="E332">
        <v>24.17</v>
      </c>
      <c r="F332">
        <v>112.43</v>
      </c>
    </row>
    <row r="333" customFormat="1" spans="1:6">
      <c r="A333">
        <v>2022</v>
      </c>
      <c r="B333" t="s">
        <v>28</v>
      </c>
      <c r="C333" t="s">
        <v>12</v>
      </c>
      <c r="D333">
        <v>2148</v>
      </c>
      <c r="E333">
        <v>25.89</v>
      </c>
      <c r="F333">
        <v>121.43</v>
      </c>
    </row>
    <row r="334" customFormat="1" spans="1:6">
      <c r="A334">
        <v>2022</v>
      </c>
      <c r="B334" t="s">
        <v>28</v>
      </c>
      <c r="C334" t="s">
        <v>13</v>
      </c>
      <c r="D334">
        <v>7293</v>
      </c>
      <c r="E334">
        <v>14.19</v>
      </c>
      <c r="F334">
        <v>379.95</v>
      </c>
    </row>
    <row r="335" customFormat="1" spans="1:6">
      <c r="A335">
        <v>2022</v>
      </c>
      <c r="B335" t="s">
        <v>28</v>
      </c>
      <c r="C335" t="s">
        <v>14</v>
      </c>
      <c r="D335">
        <v>7457</v>
      </c>
      <c r="E335">
        <v>39.5</v>
      </c>
      <c r="F335">
        <v>362.48</v>
      </c>
    </row>
    <row r="336" customFormat="1" spans="1:6">
      <c r="A336">
        <v>2022</v>
      </c>
      <c r="B336" t="s">
        <v>28</v>
      </c>
      <c r="C336" t="s">
        <v>15</v>
      </c>
      <c r="D336">
        <v>8509</v>
      </c>
      <c r="E336">
        <v>17.29</v>
      </c>
      <c r="F336">
        <v>470.74</v>
      </c>
    </row>
    <row r="337" customFormat="1" spans="1:6">
      <c r="A337">
        <v>2022</v>
      </c>
      <c r="B337" t="s">
        <v>28</v>
      </c>
      <c r="C337" t="s">
        <v>16</v>
      </c>
      <c r="D337">
        <v>5777</v>
      </c>
      <c r="E337">
        <v>32.56</v>
      </c>
      <c r="F337">
        <v>305.26</v>
      </c>
    </row>
    <row r="338" customFormat="1" spans="1:6">
      <c r="A338">
        <v>2022</v>
      </c>
      <c r="B338" t="s">
        <v>28</v>
      </c>
      <c r="C338" t="s">
        <v>17</v>
      </c>
      <c r="D338">
        <v>4854</v>
      </c>
      <c r="E338">
        <v>43.63</v>
      </c>
      <c r="F338">
        <v>241.35</v>
      </c>
    </row>
    <row r="339" customFormat="1" spans="1:6">
      <c r="A339">
        <v>2022</v>
      </c>
      <c r="B339" t="s">
        <v>28</v>
      </c>
      <c r="C339" t="s">
        <v>8</v>
      </c>
      <c r="D339">
        <v>3491</v>
      </c>
      <c r="E339">
        <v>13.57</v>
      </c>
      <c r="F339">
        <v>213.14</v>
      </c>
    </row>
    <row r="340" customFormat="1" spans="1:6">
      <c r="A340">
        <v>2022</v>
      </c>
      <c r="B340" t="s">
        <v>28</v>
      </c>
      <c r="C340" t="s">
        <v>9</v>
      </c>
      <c r="D340">
        <v>4124</v>
      </c>
      <c r="E340">
        <v>31.41</v>
      </c>
      <c r="F340">
        <v>237.07</v>
      </c>
    </row>
    <row r="341" customFormat="1" spans="1:6">
      <c r="A341">
        <v>2022</v>
      </c>
      <c r="B341" t="s">
        <v>28</v>
      </c>
      <c r="C341" t="s">
        <v>10</v>
      </c>
      <c r="D341">
        <v>6691</v>
      </c>
      <c r="E341">
        <v>19.33</v>
      </c>
      <c r="F341">
        <v>359.41</v>
      </c>
    </row>
    <row r="342" customFormat="1" spans="1:6">
      <c r="A342">
        <v>2022</v>
      </c>
      <c r="B342" t="s">
        <v>28</v>
      </c>
      <c r="C342" t="s">
        <v>11</v>
      </c>
      <c r="D342">
        <v>4051</v>
      </c>
      <c r="E342">
        <v>23.72</v>
      </c>
      <c r="F342">
        <v>225.18</v>
      </c>
    </row>
    <row r="343" customFormat="1" spans="1:6">
      <c r="A343">
        <v>2022</v>
      </c>
      <c r="B343" t="s">
        <v>28</v>
      </c>
      <c r="C343" t="s">
        <v>12</v>
      </c>
      <c r="D343">
        <v>1004</v>
      </c>
      <c r="E343">
        <v>28.96</v>
      </c>
      <c r="F343">
        <v>88.21</v>
      </c>
    </row>
    <row r="344" customFormat="1" spans="1:6">
      <c r="A344">
        <v>2022</v>
      </c>
      <c r="B344" t="s">
        <v>28</v>
      </c>
      <c r="C344" t="s">
        <v>13</v>
      </c>
      <c r="D344">
        <v>6222</v>
      </c>
      <c r="E344">
        <v>24.2</v>
      </c>
      <c r="F344">
        <v>325.42</v>
      </c>
    </row>
    <row r="345" customFormat="1" spans="1:6">
      <c r="A345">
        <v>2022</v>
      </c>
      <c r="B345" t="s">
        <v>28</v>
      </c>
      <c r="C345" t="s">
        <v>14</v>
      </c>
      <c r="D345">
        <v>6315</v>
      </c>
      <c r="E345">
        <v>35.95</v>
      </c>
      <c r="F345">
        <v>334.97</v>
      </c>
    </row>
    <row r="346" customFormat="1" spans="1:6">
      <c r="A346">
        <v>2022</v>
      </c>
      <c r="B346" t="s">
        <v>28</v>
      </c>
      <c r="C346" t="s">
        <v>15</v>
      </c>
      <c r="D346">
        <v>5869</v>
      </c>
      <c r="E346">
        <v>29.18</v>
      </c>
      <c r="F346">
        <v>298.36</v>
      </c>
    </row>
    <row r="347" customFormat="1" spans="1:6">
      <c r="A347">
        <v>2022</v>
      </c>
      <c r="B347" t="s">
        <v>28</v>
      </c>
      <c r="C347" t="s">
        <v>16</v>
      </c>
      <c r="D347">
        <v>1876</v>
      </c>
      <c r="E347">
        <v>33.37</v>
      </c>
      <c r="F347">
        <v>95.44</v>
      </c>
    </row>
    <row r="348" customFormat="1" spans="1:6">
      <c r="A348">
        <v>2022</v>
      </c>
      <c r="B348" t="s">
        <v>28</v>
      </c>
      <c r="C348" t="s">
        <v>17</v>
      </c>
      <c r="D348">
        <v>8027</v>
      </c>
      <c r="E348">
        <v>39.47</v>
      </c>
      <c r="F348">
        <v>401.9</v>
      </c>
    </row>
    <row r="349" customFormat="1" spans="1:6">
      <c r="A349">
        <v>2022</v>
      </c>
      <c r="B349" t="s">
        <v>28</v>
      </c>
      <c r="C349" t="s">
        <v>8</v>
      </c>
      <c r="D349">
        <v>5142</v>
      </c>
      <c r="E349">
        <v>32.31</v>
      </c>
      <c r="F349">
        <v>278.63</v>
      </c>
    </row>
  </sheetData>
  <mergeCells count="1">
    <mergeCell ref="H4:J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9"/>
  <sheetViews>
    <sheetView topLeftCell="D1" workbookViewId="0">
      <selection activeCell="G9" sqref="G9"/>
    </sheetView>
  </sheetViews>
  <sheetFormatPr defaultColWidth="9" defaultRowHeight="14.5"/>
  <cols>
    <col min="4" max="4" width="36.5454545454545" customWidth="1"/>
    <col min="5" max="5" width="18.8181818181818" customWidth="1"/>
    <col min="6" max="6" width="14.5454545454545" customWidth="1"/>
    <col min="8" max="9" width="17.0909090909091" customWidth="1"/>
    <col min="10" max="11" width="12.8181818181818"/>
  </cols>
  <sheetData>
    <row r="1" customFormat="1" spans="1:11">
      <c r="A1" t="s">
        <v>34</v>
      </c>
      <c r="D1" s="72" t="s">
        <v>39</v>
      </c>
      <c r="I1" s="129" t="s">
        <v>40</v>
      </c>
    </row>
    <row r="2" customFormat="1" spans="1:11">
      <c r="I2" s="124" t="s">
        <v>41</v>
      </c>
      <c r="J2" s="124" t="s">
        <v>42</v>
      </c>
      <c r="K2" s="124" t="s">
        <v>43</v>
      </c>
    </row>
    <row r="3" customFormat="1" spans="1:11">
      <c r="A3" s="122" t="s">
        <v>1</v>
      </c>
      <c r="B3" s="122" t="s">
        <v>2</v>
      </c>
      <c r="C3" s="122" t="s">
        <v>3</v>
      </c>
      <c r="D3" s="122" t="s">
        <v>4</v>
      </c>
      <c r="E3" s="122" t="s">
        <v>5</v>
      </c>
      <c r="F3" s="122" t="s">
        <v>6</v>
      </c>
      <c r="I3" s="124">
        <f>AVERAGE(D272:D349)</f>
        <v>7571.5</v>
      </c>
      <c r="J3" s="125">
        <f>AVERAGE(E272:E349)</f>
        <v>29.0705128205128</v>
      </c>
      <c r="K3" s="125">
        <f>52.43+(0.05*I3)-(1.15*J3)</f>
        <v>397.57391025641</v>
      </c>
    </row>
    <row r="4" customFormat="1" spans="1:11">
      <c r="A4">
        <v>2022</v>
      </c>
      <c r="B4" t="s">
        <v>7</v>
      </c>
      <c r="C4" t="s">
        <v>13</v>
      </c>
      <c r="D4">
        <v>7265</v>
      </c>
      <c r="E4">
        <v>11.64</v>
      </c>
      <c r="F4">
        <v>416.07</v>
      </c>
    </row>
    <row r="5" customFormat="1" spans="1:11">
      <c r="A5">
        <v>2022</v>
      </c>
      <c r="B5" t="s">
        <v>7</v>
      </c>
      <c r="C5" t="s">
        <v>14</v>
      </c>
      <c r="D5">
        <v>7266</v>
      </c>
      <c r="E5">
        <v>25.95</v>
      </c>
      <c r="F5">
        <v>91.93</v>
      </c>
      <c r="I5" s="129" t="s">
        <v>44</v>
      </c>
    </row>
    <row r="6" customFormat="1" spans="1:11">
      <c r="A6">
        <v>2022</v>
      </c>
      <c r="B6" t="s">
        <v>7</v>
      </c>
      <c r="C6" t="s">
        <v>15</v>
      </c>
      <c r="D6">
        <v>7267</v>
      </c>
      <c r="E6">
        <v>27.34</v>
      </c>
      <c r="F6">
        <v>255.73</v>
      </c>
      <c r="H6" s="124"/>
      <c r="I6" s="124" t="s">
        <v>41</v>
      </c>
      <c r="J6" s="124" t="s">
        <v>42</v>
      </c>
      <c r="K6" s="124" t="s">
        <v>43</v>
      </c>
    </row>
    <row r="7" customFormat="1" spans="1:11">
      <c r="A7">
        <v>2022</v>
      </c>
      <c r="B7" t="s">
        <v>7</v>
      </c>
      <c r="C7" t="s">
        <v>16</v>
      </c>
      <c r="D7">
        <v>7268</v>
      </c>
      <c r="E7">
        <v>39.76</v>
      </c>
      <c r="F7">
        <v>341.12</v>
      </c>
      <c r="H7" s="124" t="s">
        <v>45</v>
      </c>
      <c r="I7" s="125">
        <f>AVERAGE(D273:D349)</f>
        <v>7572</v>
      </c>
      <c r="J7" s="125">
        <f>AVERAGE(E274:E349)</f>
        <v>28.9114473684211</v>
      </c>
      <c r="K7" s="125">
        <f>52.43+(0.05*I7)-(1.15*(J7))</f>
        <v>397.781835526316</v>
      </c>
    </row>
    <row r="8" customFormat="1" spans="1:11">
      <c r="A8">
        <v>2022</v>
      </c>
      <c r="B8" t="s">
        <v>7</v>
      </c>
      <c r="C8" t="s">
        <v>17</v>
      </c>
      <c r="D8">
        <v>7269</v>
      </c>
      <c r="E8">
        <v>20.03</v>
      </c>
      <c r="F8">
        <v>488.17</v>
      </c>
      <c r="H8" s="124" t="s">
        <v>46</v>
      </c>
      <c r="I8" s="125">
        <f>AVERAGE(D303:D349,I7)</f>
        <v>7586.6875</v>
      </c>
      <c r="J8" s="125">
        <f>AVERAGE(E303:E349,J7)</f>
        <v>28.7008634868421</v>
      </c>
      <c r="K8" s="125">
        <f>52.43+(0.05*I8)-(1.15*J8)</f>
        <v>398.758381990132</v>
      </c>
    </row>
    <row r="9" customFormat="1" spans="1:11">
      <c r="A9">
        <v>2022</v>
      </c>
      <c r="B9" t="s">
        <v>7</v>
      </c>
      <c r="C9" t="s">
        <v>8</v>
      </c>
      <c r="D9">
        <v>7270</v>
      </c>
      <c r="E9">
        <v>17.37</v>
      </c>
      <c r="F9">
        <v>159.28</v>
      </c>
      <c r="H9" s="124" t="s">
        <v>47</v>
      </c>
      <c r="I9" s="125">
        <f>AVERAGE(D319:D349,I7:I8)</f>
        <v>7594.05113636364</v>
      </c>
      <c r="J9" s="125">
        <f>AVERAGE(E319:E349,J7:J8)</f>
        <v>29.2140094198565</v>
      </c>
      <c r="K9" s="125">
        <f>52.43+(0.05*I9)-(1.15*J9)</f>
        <v>398.536445985347</v>
      </c>
    </row>
    <row r="10" customFormat="1" spans="1:11">
      <c r="A10">
        <v>2022</v>
      </c>
      <c r="B10" t="s">
        <v>7</v>
      </c>
      <c r="C10" t="s">
        <v>9</v>
      </c>
      <c r="D10">
        <v>7271</v>
      </c>
      <c r="E10">
        <v>13.23</v>
      </c>
      <c r="F10">
        <v>77.01</v>
      </c>
      <c r="H10" s="124" t="s">
        <v>48</v>
      </c>
      <c r="I10" s="125">
        <f>SUM(I7:I9)</f>
        <v>22752.7386363636</v>
      </c>
      <c r="J10" s="125">
        <f>SUM(J7:J9)</f>
        <v>86.8263202751196</v>
      </c>
      <c r="K10" s="125">
        <f>SUM(K7:K9)</f>
        <v>1195.07666350179</v>
      </c>
    </row>
    <row r="11" customFormat="1" spans="1:11">
      <c r="A11">
        <v>2022</v>
      </c>
      <c r="B11" t="s">
        <v>7</v>
      </c>
      <c r="C11" t="s">
        <v>10</v>
      </c>
      <c r="D11">
        <v>7272</v>
      </c>
      <c r="E11">
        <v>27.13</v>
      </c>
      <c r="F11">
        <v>430.84</v>
      </c>
    </row>
    <row r="12" customFormat="1" spans="1:11">
      <c r="A12">
        <v>2022</v>
      </c>
      <c r="B12" t="s">
        <v>7</v>
      </c>
      <c r="C12" t="s">
        <v>11</v>
      </c>
      <c r="D12">
        <v>7273</v>
      </c>
      <c r="E12">
        <v>37.54</v>
      </c>
      <c r="F12">
        <v>179.51</v>
      </c>
      <c r="I12" s="129" t="s">
        <v>49</v>
      </c>
    </row>
    <row r="13" customFormat="1" spans="1:11">
      <c r="A13">
        <v>2022</v>
      </c>
      <c r="B13" t="s">
        <v>7</v>
      </c>
      <c r="C13" t="s">
        <v>12</v>
      </c>
      <c r="D13">
        <v>7274</v>
      </c>
      <c r="E13">
        <v>12.33</v>
      </c>
      <c r="F13">
        <v>386.66</v>
      </c>
      <c r="I13" s="124" t="s">
        <v>41</v>
      </c>
      <c r="J13" s="124" t="s">
        <v>42</v>
      </c>
      <c r="K13" s="124" t="s">
        <v>43</v>
      </c>
    </row>
    <row r="14" customFormat="1" spans="1:11">
      <c r="A14">
        <v>2022</v>
      </c>
      <c r="B14" t="s">
        <v>7</v>
      </c>
      <c r="C14" t="s">
        <v>13</v>
      </c>
      <c r="D14">
        <v>7275</v>
      </c>
      <c r="E14">
        <v>46.61</v>
      </c>
      <c r="F14">
        <v>295.13</v>
      </c>
      <c r="I14" s="124">
        <v>224447.92</v>
      </c>
      <c r="J14" s="124">
        <v>861.67</v>
      </c>
      <c r="K14" s="125">
        <f>52.43+(0.05*I14)-(1.15*J14)</f>
        <v>10283.9055</v>
      </c>
    </row>
    <row r="15" customFormat="1" spans="1:11">
      <c r="A15">
        <v>2022</v>
      </c>
      <c r="B15" t="s">
        <v>7</v>
      </c>
      <c r="C15" t="s">
        <v>14</v>
      </c>
      <c r="D15">
        <v>7276</v>
      </c>
      <c r="E15">
        <v>27.69</v>
      </c>
      <c r="F15">
        <v>399.09</v>
      </c>
      <c r="I15" s="130"/>
      <c r="J15" s="130"/>
    </row>
    <row r="16" customFormat="1" spans="1:11">
      <c r="A16">
        <v>2022</v>
      </c>
      <c r="B16" t="s">
        <v>7</v>
      </c>
      <c r="C16" t="s">
        <v>15</v>
      </c>
      <c r="D16">
        <v>7277</v>
      </c>
      <c r="E16">
        <v>19.59</v>
      </c>
      <c r="F16">
        <v>152.33</v>
      </c>
    </row>
    <row r="17" customFormat="1" spans="1:6">
      <c r="A17">
        <v>2022</v>
      </c>
      <c r="B17" t="s">
        <v>7</v>
      </c>
      <c r="C17" t="s">
        <v>16</v>
      </c>
      <c r="D17">
        <v>7278</v>
      </c>
      <c r="E17">
        <v>13.75</v>
      </c>
      <c r="F17">
        <v>276.32</v>
      </c>
    </row>
    <row r="18" customFormat="1" spans="1:6">
      <c r="A18">
        <v>2022</v>
      </c>
      <c r="B18" t="s">
        <v>7</v>
      </c>
      <c r="C18" t="s">
        <v>17</v>
      </c>
      <c r="D18">
        <v>7279</v>
      </c>
      <c r="E18">
        <v>17.31</v>
      </c>
      <c r="F18">
        <v>300.81</v>
      </c>
    </row>
    <row r="19" customFormat="1" spans="1:6">
      <c r="A19">
        <v>2022</v>
      </c>
      <c r="B19" t="s">
        <v>7</v>
      </c>
      <c r="C19" t="s">
        <v>8</v>
      </c>
      <c r="D19">
        <v>7280</v>
      </c>
      <c r="E19">
        <v>47.38</v>
      </c>
      <c r="F19">
        <v>354.32</v>
      </c>
    </row>
    <row r="20" customFormat="1" spans="1:6">
      <c r="A20">
        <v>2022</v>
      </c>
      <c r="B20" t="s">
        <v>7</v>
      </c>
      <c r="C20" t="s">
        <v>9</v>
      </c>
      <c r="D20">
        <v>7281</v>
      </c>
      <c r="E20">
        <v>35.53</v>
      </c>
      <c r="F20">
        <v>500.55</v>
      </c>
    </row>
    <row r="21" customFormat="1" spans="1:6">
      <c r="A21">
        <v>2022</v>
      </c>
      <c r="B21" t="s">
        <v>7</v>
      </c>
      <c r="C21" t="s">
        <v>10</v>
      </c>
      <c r="D21">
        <v>7282</v>
      </c>
      <c r="E21">
        <v>30.67</v>
      </c>
      <c r="F21">
        <v>203.91</v>
      </c>
    </row>
    <row r="22" customFormat="1" spans="1:6">
      <c r="A22">
        <v>2022</v>
      </c>
      <c r="B22" t="s">
        <v>7</v>
      </c>
      <c r="C22" t="s">
        <v>11</v>
      </c>
      <c r="D22">
        <v>7283</v>
      </c>
      <c r="E22">
        <v>36.28</v>
      </c>
      <c r="F22">
        <v>432.61</v>
      </c>
    </row>
    <row r="23" customFormat="1" spans="1:6">
      <c r="A23">
        <v>2022</v>
      </c>
      <c r="B23" t="s">
        <v>7</v>
      </c>
      <c r="C23" t="s">
        <v>12</v>
      </c>
      <c r="D23">
        <v>7284</v>
      </c>
      <c r="E23">
        <v>27.43</v>
      </c>
      <c r="F23">
        <v>206.38</v>
      </c>
    </row>
    <row r="24" customFormat="1" spans="1:6">
      <c r="A24">
        <v>2022</v>
      </c>
      <c r="B24" t="s">
        <v>7</v>
      </c>
      <c r="C24" t="s">
        <v>13</v>
      </c>
      <c r="D24">
        <v>7285</v>
      </c>
      <c r="E24">
        <v>39.2</v>
      </c>
      <c r="F24">
        <v>195.63</v>
      </c>
    </row>
    <row r="25" customFormat="1" spans="1:6">
      <c r="A25">
        <v>2022</v>
      </c>
      <c r="B25" t="s">
        <v>7</v>
      </c>
      <c r="C25" t="s">
        <v>14</v>
      </c>
      <c r="D25">
        <v>7286</v>
      </c>
      <c r="E25">
        <v>11.91</v>
      </c>
      <c r="F25">
        <v>90.89</v>
      </c>
    </row>
    <row r="26" customFormat="1" spans="1:6">
      <c r="A26">
        <v>2022</v>
      </c>
      <c r="B26" t="s">
        <v>7</v>
      </c>
      <c r="C26" t="s">
        <v>15</v>
      </c>
      <c r="D26">
        <v>7287</v>
      </c>
      <c r="E26">
        <v>32.64</v>
      </c>
      <c r="F26">
        <v>200.3</v>
      </c>
    </row>
    <row r="27" customFormat="1" spans="1:6">
      <c r="A27">
        <v>2022</v>
      </c>
      <c r="B27" t="s">
        <v>7</v>
      </c>
      <c r="C27" t="s">
        <v>16</v>
      </c>
      <c r="D27">
        <v>7288</v>
      </c>
      <c r="E27">
        <v>16.35</v>
      </c>
      <c r="F27">
        <v>245.92</v>
      </c>
    </row>
    <row r="28" customFormat="1" spans="1:6">
      <c r="A28">
        <v>2022</v>
      </c>
      <c r="B28" t="s">
        <v>7</v>
      </c>
      <c r="C28" t="s">
        <v>17</v>
      </c>
      <c r="D28">
        <v>7289</v>
      </c>
      <c r="E28">
        <v>14.81</v>
      </c>
      <c r="F28">
        <v>315.35</v>
      </c>
    </row>
    <row r="29" customFormat="1" spans="1:6">
      <c r="A29">
        <v>2022</v>
      </c>
      <c r="B29" t="s">
        <v>7</v>
      </c>
      <c r="C29" t="s">
        <v>8</v>
      </c>
      <c r="D29">
        <v>7290</v>
      </c>
      <c r="E29">
        <v>23.68</v>
      </c>
      <c r="F29">
        <v>184.18</v>
      </c>
    </row>
    <row r="30" customFormat="1" spans="1:6">
      <c r="A30">
        <v>2022</v>
      </c>
      <c r="B30" t="s">
        <v>18</v>
      </c>
      <c r="C30" t="s">
        <v>9</v>
      </c>
      <c r="D30">
        <v>7291</v>
      </c>
      <c r="E30">
        <v>13.67</v>
      </c>
      <c r="F30">
        <v>436.6</v>
      </c>
    </row>
    <row r="31" customFormat="1" spans="1:6">
      <c r="A31">
        <v>2022</v>
      </c>
      <c r="B31" t="s">
        <v>18</v>
      </c>
      <c r="C31" t="s">
        <v>10</v>
      </c>
      <c r="D31">
        <v>7292</v>
      </c>
      <c r="E31">
        <v>13.77</v>
      </c>
      <c r="F31">
        <v>131.87</v>
      </c>
    </row>
    <row r="32" customFormat="1" spans="1:6">
      <c r="A32">
        <v>2022</v>
      </c>
      <c r="B32" t="s">
        <v>18</v>
      </c>
      <c r="C32" t="s">
        <v>11</v>
      </c>
      <c r="D32">
        <v>7293</v>
      </c>
      <c r="E32">
        <v>22.46</v>
      </c>
      <c r="F32">
        <v>106.68</v>
      </c>
    </row>
    <row r="33" customFormat="1" spans="1:6">
      <c r="A33">
        <v>2022</v>
      </c>
      <c r="B33" t="s">
        <v>18</v>
      </c>
      <c r="C33" t="s">
        <v>12</v>
      </c>
      <c r="D33">
        <v>7294</v>
      </c>
      <c r="E33">
        <v>49.18</v>
      </c>
      <c r="F33">
        <v>258.72</v>
      </c>
    </row>
    <row r="34" customFormat="1" spans="1:6">
      <c r="A34">
        <v>2022</v>
      </c>
      <c r="B34" t="s">
        <v>18</v>
      </c>
      <c r="C34" t="s">
        <v>13</v>
      </c>
      <c r="D34">
        <v>7295</v>
      </c>
      <c r="E34">
        <v>17.01</v>
      </c>
      <c r="F34">
        <v>313.76</v>
      </c>
    </row>
    <row r="35" customFormat="1" spans="1:6">
      <c r="A35">
        <v>2022</v>
      </c>
      <c r="B35" t="s">
        <v>18</v>
      </c>
      <c r="C35" t="s">
        <v>14</v>
      </c>
      <c r="D35">
        <v>7296</v>
      </c>
      <c r="E35">
        <v>10.69</v>
      </c>
      <c r="F35">
        <v>541.61</v>
      </c>
    </row>
    <row r="36" customFormat="1" spans="1:6">
      <c r="A36">
        <v>2022</v>
      </c>
      <c r="B36" t="s">
        <v>18</v>
      </c>
      <c r="C36" t="s">
        <v>15</v>
      </c>
      <c r="D36">
        <v>7297</v>
      </c>
      <c r="E36">
        <v>40.53</v>
      </c>
      <c r="F36">
        <v>300.76</v>
      </c>
    </row>
    <row r="37" customFormat="1" spans="1:6">
      <c r="A37">
        <v>2022</v>
      </c>
      <c r="B37" t="s">
        <v>18</v>
      </c>
      <c r="C37" t="s">
        <v>16</v>
      </c>
      <c r="D37">
        <v>7298</v>
      </c>
      <c r="E37">
        <v>42.28</v>
      </c>
      <c r="F37">
        <v>536.67</v>
      </c>
    </row>
    <row r="38" customFormat="1" spans="1:6">
      <c r="A38">
        <v>2022</v>
      </c>
      <c r="B38" t="s">
        <v>18</v>
      </c>
      <c r="C38" t="s">
        <v>17</v>
      </c>
      <c r="D38">
        <v>7299</v>
      </c>
      <c r="E38">
        <v>23.85</v>
      </c>
      <c r="F38">
        <v>480.94</v>
      </c>
    </row>
    <row r="39" customFormat="1" spans="1:6">
      <c r="A39">
        <v>2022</v>
      </c>
      <c r="B39" t="s">
        <v>18</v>
      </c>
      <c r="C39" t="s">
        <v>8</v>
      </c>
      <c r="D39">
        <v>7300</v>
      </c>
      <c r="E39">
        <v>28.59</v>
      </c>
      <c r="F39">
        <v>437.08</v>
      </c>
    </row>
    <row r="40" customFormat="1" spans="1:6">
      <c r="A40">
        <v>2022</v>
      </c>
      <c r="B40" t="s">
        <v>18</v>
      </c>
      <c r="C40" t="s">
        <v>9</v>
      </c>
      <c r="D40">
        <v>7301</v>
      </c>
      <c r="E40">
        <v>35.99</v>
      </c>
      <c r="F40">
        <v>190.6</v>
      </c>
    </row>
    <row r="41" customFormat="1" spans="1:6">
      <c r="A41">
        <v>2022</v>
      </c>
      <c r="B41" t="s">
        <v>18</v>
      </c>
      <c r="C41" t="s">
        <v>10</v>
      </c>
      <c r="D41">
        <v>7302</v>
      </c>
      <c r="E41">
        <v>11.92</v>
      </c>
      <c r="F41">
        <v>446.77</v>
      </c>
    </row>
    <row r="42" customFormat="1" spans="1:6">
      <c r="A42">
        <v>2022</v>
      </c>
      <c r="B42" t="s">
        <v>18</v>
      </c>
      <c r="C42" t="s">
        <v>11</v>
      </c>
      <c r="D42">
        <v>7303</v>
      </c>
      <c r="E42">
        <v>47.97</v>
      </c>
      <c r="F42">
        <v>367.07</v>
      </c>
    </row>
    <row r="43" customFormat="1" spans="1:6">
      <c r="A43">
        <v>2022</v>
      </c>
      <c r="B43" t="s">
        <v>18</v>
      </c>
      <c r="C43" t="s">
        <v>12</v>
      </c>
      <c r="D43">
        <v>7304</v>
      </c>
      <c r="E43">
        <v>45.47</v>
      </c>
      <c r="F43">
        <v>333.42</v>
      </c>
    </row>
    <row r="44" customFormat="1" spans="1:6">
      <c r="A44">
        <v>2022</v>
      </c>
      <c r="B44" t="s">
        <v>18</v>
      </c>
      <c r="C44" t="s">
        <v>13</v>
      </c>
      <c r="D44">
        <v>7305</v>
      </c>
      <c r="E44">
        <v>20.44</v>
      </c>
      <c r="F44">
        <v>427.54</v>
      </c>
    </row>
    <row r="45" customFormat="1" spans="1:6">
      <c r="A45">
        <v>2022</v>
      </c>
      <c r="B45" t="s">
        <v>18</v>
      </c>
      <c r="C45" t="s">
        <v>14</v>
      </c>
      <c r="D45">
        <v>7306</v>
      </c>
      <c r="E45">
        <v>10.61</v>
      </c>
      <c r="F45">
        <v>139.38</v>
      </c>
    </row>
    <row r="46" customFormat="1" spans="1:6">
      <c r="A46">
        <v>2022</v>
      </c>
      <c r="B46" t="s">
        <v>18</v>
      </c>
      <c r="C46" t="s">
        <v>15</v>
      </c>
      <c r="D46">
        <v>7307</v>
      </c>
      <c r="E46">
        <v>47.34</v>
      </c>
      <c r="F46">
        <v>450.71</v>
      </c>
    </row>
    <row r="47" customFormat="1" spans="1:6">
      <c r="A47">
        <v>2022</v>
      </c>
      <c r="B47" t="s">
        <v>18</v>
      </c>
      <c r="C47" t="s">
        <v>16</v>
      </c>
      <c r="D47">
        <v>7308</v>
      </c>
      <c r="E47">
        <v>30.04</v>
      </c>
      <c r="F47">
        <v>233.14</v>
      </c>
    </row>
    <row r="48" customFormat="1" spans="1:6">
      <c r="A48">
        <v>2022</v>
      </c>
      <c r="B48" t="s">
        <v>18</v>
      </c>
      <c r="C48" t="s">
        <v>17</v>
      </c>
      <c r="D48">
        <v>7309</v>
      </c>
      <c r="E48">
        <v>31.58</v>
      </c>
      <c r="F48">
        <v>151.31</v>
      </c>
    </row>
    <row r="49" customFormat="1" spans="1:6">
      <c r="A49">
        <v>2022</v>
      </c>
      <c r="B49" t="s">
        <v>18</v>
      </c>
      <c r="C49" t="s">
        <v>8</v>
      </c>
      <c r="D49">
        <v>7310</v>
      </c>
      <c r="E49">
        <v>37.36</v>
      </c>
      <c r="F49">
        <v>267.58</v>
      </c>
    </row>
    <row r="50" customFormat="1" spans="1:6">
      <c r="A50">
        <v>2022</v>
      </c>
      <c r="B50" t="s">
        <v>18</v>
      </c>
      <c r="C50" t="s">
        <v>9</v>
      </c>
      <c r="D50">
        <v>7311</v>
      </c>
      <c r="E50">
        <v>34.63</v>
      </c>
      <c r="F50">
        <v>448.95</v>
      </c>
    </row>
    <row r="51" customFormat="1" spans="1:6">
      <c r="A51">
        <v>2022</v>
      </c>
      <c r="B51" t="s">
        <v>18</v>
      </c>
      <c r="C51" t="s">
        <v>10</v>
      </c>
      <c r="D51">
        <v>7312</v>
      </c>
      <c r="E51">
        <v>47.76</v>
      </c>
      <c r="F51">
        <v>187.49</v>
      </c>
    </row>
    <row r="52" customFormat="1" spans="1:6">
      <c r="A52">
        <v>2022</v>
      </c>
      <c r="B52" t="s">
        <v>18</v>
      </c>
      <c r="C52" t="s">
        <v>11</v>
      </c>
      <c r="D52">
        <v>7313</v>
      </c>
      <c r="E52">
        <v>47.77</v>
      </c>
      <c r="F52">
        <v>102.9</v>
      </c>
    </row>
    <row r="53" customFormat="1" spans="1:6">
      <c r="A53">
        <v>2022</v>
      </c>
      <c r="B53" t="s">
        <v>18</v>
      </c>
      <c r="C53" t="s">
        <v>12</v>
      </c>
      <c r="D53">
        <v>7314</v>
      </c>
      <c r="E53">
        <v>44.69</v>
      </c>
      <c r="F53">
        <v>251.59</v>
      </c>
    </row>
    <row r="54" customFormat="1" spans="1:6">
      <c r="A54">
        <v>2022</v>
      </c>
      <c r="B54" t="s">
        <v>18</v>
      </c>
      <c r="C54" t="s">
        <v>13</v>
      </c>
      <c r="D54">
        <v>7315</v>
      </c>
      <c r="E54">
        <v>35.46</v>
      </c>
      <c r="F54">
        <v>431.08</v>
      </c>
    </row>
    <row r="55" customFormat="1" spans="1:6">
      <c r="A55">
        <v>2022</v>
      </c>
      <c r="B55" t="s">
        <v>18</v>
      </c>
      <c r="C55" t="s">
        <v>14</v>
      </c>
      <c r="D55">
        <v>7316</v>
      </c>
      <c r="E55">
        <v>42.04</v>
      </c>
      <c r="F55">
        <v>387.72</v>
      </c>
    </row>
    <row r="56" customFormat="1" spans="1:6">
      <c r="A56">
        <v>2022</v>
      </c>
      <c r="B56" t="s">
        <v>18</v>
      </c>
      <c r="C56" t="s">
        <v>15</v>
      </c>
      <c r="D56">
        <v>7317</v>
      </c>
      <c r="E56">
        <v>37.09</v>
      </c>
      <c r="F56">
        <v>351.41</v>
      </c>
    </row>
    <row r="57" customFormat="1" spans="1:6">
      <c r="A57">
        <v>2022</v>
      </c>
      <c r="B57" t="s">
        <v>18</v>
      </c>
      <c r="C57" t="s">
        <v>16</v>
      </c>
      <c r="D57">
        <v>7318</v>
      </c>
      <c r="E57">
        <v>32.93</v>
      </c>
      <c r="F57">
        <v>102.71</v>
      </c>
    </row>
    <row r="58" customFormat="1" spans="1:6">
      <c r="A58">
        <v>2022</v>
      </c>
      <c r="B58" t="s">
        <v>19</v>
      </c>
      <c r="C58" t="s">
        <v>17</v>
      </c>
      <c r="D58">
        <v>7319</v>
      </c>
      <c r="E58">
        <v>15.14</v>
      </c>
      <c r="F58">
        <v>313.18</v>
      </c>
    </row>
    <row r="59" customFormat="1" spans="1:6">
      <c r="A59">
        <v>2022</v>
      </c>
      <c r="B59" t="s">
        <v>19</v>
      </c>
      <c r="C59" t="s">
        <v>8</v>
      </c>
      <c r="D59">
        <v>7320</v>
      </c>
      <c r="E59">
        <v>42.45</v>
      </c>
      <c r="F59">
        <v>134.26</v>
      </c>
    </row>
    <row r="60" customFormat="1" spans="1:6">
      <c r="A60">
        <v>2022</v>
      </c>
      <c r="B60" t="s">
        <v>19</v>
      </c>
      <c r="C60" t="s">
        <v>9</v>
      </c>
      <c r="D60">
        <v>7321</v>
      </c>
      <c r="E60">
        <v>42.83</v>
      </c>
      <c r="F60">
        <v>422.09</v>
      </c>
    </row>
    <row r="61" customFormat="1" spans="1:6">
      <c r="A61">
        <v>2022</v>
      </c>
      <c r="B61" t="s">
        <v>19</v>
      </c>
      <c r="C61" t="s">
        <v>10</v>
      </c>
      <c r="D61">
        <v>7322</v>
      </c>
      <c r="E61">
        <v>35.04</v>
      </c>
      <c r="F61">
        <v>113.76</v>
      </c>
    </row>
    <row r="62" customFormat="1" spans="1:6">
      <c r="A62">
        <v>2022</v>
      </c>
      <c r="B62" t="s">
        <v>19</v>
      </c>
      <c r="C62" t="s">
        <v>11</v>
      </c>
      <c r="D62">
        <v>7323</v>
      </c>
      <c r="E62">
        <v>42.82</v>
      </c>
      <c r="F62">
        <v>458.18</v>
      </c>
    </row>
    <row r="63" customFormat="1" spans="1:6">
      <c r="A63">
        <v>2022</v>
      </c>
      <c r="B63" t="s">
        <v>19</v>
      </c>
      <c r="C63" t="s">
        <v>12</v>
      </c>
      <c r="D63">
        <v>7324</v>
      </c>
      <c r="E63">
        <v>36.06</v>
      </c>
      <c r="F63">
        <v>332.15</v>
      </c>
    </row>
    <row r="64" customFormat="1" spans="1:6">
      <c r="A64">
        <v>2022</v>
      </c>
      <c r="B64" t="s">
        <v>19</v>
      </c>
      <c r="C64" t="s">
        <v>13</v>
      </c>
      <c r="D64">
        <v>7325</v>
      </c>
      <c r="E64">
        <v>18.27</v>
      </c>
      <c r="F64">
        <v>502.9</v>
      </c>
    </row>
    <row r="65" customFormat="1" spans="1:6">
      <c r="A65">
        <v>2022</v>
      </c>
      <c r="B65" t="s">
        <v>19</v>
      </c>
      <c r="C65" t="s">
        <v>14</v>
      </c>
      <c r="D65">
        <v>7326</v>
      </c>
      <c r="E65">
        <v>20.96</v>
      </c>
      <c r="F65">
        <v>380.78</v>
      </c>
    </row>
    <row r="66" customFormat="1" spans="1:6">
      <c r="A66">
        <v>2022</v>
      </c>
      <c r="B66" t="s">
        <v>19</v>
      </c>
      <c r="C66" t="s">
        <v>15</v>
      </c>
      <c r="D66">
        <v>7327</v>
      </c>
      <c r="E66">
        <v>18.58</v>
      </c>
      <c r="F66">
        <v>493.44</v>
      </c>
    </row>
    <row r="67" customFormat="1" spans="1:6">
      <c r="A67">
        <v>2022</v>
      </c>
      <c r="B67" t="s">
        <v>19</v>
      </c>
      <c r="C67" t="s">
        <v>16</v>
      </c>
      <c r="D67">
        <v>7328</v>
      </c>
      <c r="E67">
        <v>25.09</v>
      </c>
      <c r="F67">
        <v>510.08</v>
      </c>
    </row>
    <row r="68" customFormat="1" spans="1:6">
      <c r="A68">
        <v>2022</v>
      </c>
      <c r="B68" t="s">
        <v>19</v>
      </c>
      <c r="C68" t="s">
        <v>17</v>
      </c>
      <c r="D68">
        <v>7329</v>
      </c>
      <c r="E68">
        <v>11.56</v>
      </c>
      <c r="F68">
        <v>83.24</v>
      </c>
    </row>
    <row r="69" customFormat="1" spans="1:6">
      <c r="A69">
        <v>2022</v>
      </c>
      <c r="B69" t="s">
        <v>19</v>
      </c>
      <c r="C69" t="s">
        <v>8</v>
      </c>
      <c r="D69">
        <v>7330</v>
      </c>
      <c r="E69">
        <v>34.73</v>
      </c>
      <c r="F69">
        <v>256.89</v>
      </c>
    </row>
    <row r="70" customFormat="1" spans="1:6">
      <c r="A70">
        <v>2022</v>
      </c>
      <c r="B70" t="s">
        <v>19</v>
      </c>
      <c r="C70" t="s">
        <v>9</v>
      </c>
      <c r="D70">
        <v>7331</v>
      </c>
      <c r="E70">
        <v>23.46</v>
      </c>
      <c r="F70">
        <v>343.45</v>
      </c>
    </row>
    <row r="71" customFormat="1" spans="1:6">
      <c r="A71">
        <v>2022</v>
      </c>
      <c r="B71" t="s">
        <v>19</v>
      </c>
      <c r="C71" t="s">
        <v>10</v>
      </c>
      <c r="D71">
        <v>7332</v>
      </c>
      <c r="E71">
        <v>36.23</v>
      </c>
      <c r="F71">
        <v>397.37</v>
      </c>
    </row>
    <row r="72" customFormat="1" spans="1:6">
      <c r="A72">
        <v>2022</v>
      </c>
      <c r="B72" t="s">
        <v>19</v>
      </c>
      <c r="C72" t="s">
        <v>11</v>
      </c>
      <c r="D72">
        <v>7333</v>
      </c>
      <c r="E72">
        <v>25.42</v>
      </c>
      <c r="F72">
        <v>480.43</v>
      </c>
    </row>
    <row r="73" customFormat="1" spans="1:6">
      <c r="A73">
        <v>2022</v>
      </c>
      <c r="B73" t="s">
        <v>19</v>
      </c>
      <c r="C73" t="s">
        <v>12</v>
      </c>
      <c r="D73">
        <v>7334</v>
      </c>
      <c r="E73">
        <v>37.26</v>
      </c>
      <c r="F73">
        <v>471.84</v>
      </c>
    </row>
    <row r="74" customFormat="1" spans="1:6">
      <c r="A74">
        <v>2022</v>
      </c>
      <c r="B74" t="s">
        <v>19</v>
      </c>
      <c r="C74" t="s">
        <v>13</v>
      </c>
      <c r="D74">
        <v>7335</v>
      </c>
      <c r="E74">
        <v>23.62</v>
      </c>
      <c r="F74">
        <v>442.3</v>
      </c>
    </row>
    <row r="75" customFormat="1" spans="1:6">
      <c r="A75">
        <v>2022</v>
      </c>
      <c r="B75" t="s">
        <v>19</v>
      </c>
      <c r="C75" t="s">
        <v>14</v>
      </c>
      <c r="D75">
        <v>7336</v>
      </c>
      <c r="E75">
        <v>20.43</v>
      </c>
      <c r="F75">
        <v>339.03</v>
      </c>
    </row>
    <row r="76" customFormat="1" spans="1:6">
      <c r="A76">
        <v>2022</v>
      </c>
      <c r="B76" t="s">
        <v>19</v>
      </c>
      <c r="C76" t="s">
        <v>15</v>
      </c>
      <c r="D76">
        <v>7337</v>
      </c>
      <c r="E76">
        <v>29.84</v>
      </c>
      <c r="F76">
        <v>188.38</v>
      </c>
    </row>
    <row r="77" customFormat="1" spans="1:6">
      <c r="A77">
        <v>2022</v>
      </c>
      <c r="B77" t="s">
        <v>19</v>
      </c>
      <c r="C77" t="s">
        <v>16</v>
      </c>
      <c r="D77">
        <v>7338</v>
      </c>
      <c r="E77">
        <v>37.72</v>
      </c>
      <c r="F77">
        <v>67.53</v>
      </c>
    </row>
    <row r="78" customFormat="1" spans="1:6">
      <c r="A78">
        <v>2022</v>
      </c>
      <c r="B78" t="s">
        <v>19</v>
      </c>
      <c r="C78" t="s">
        <v>17</v>
      </c>
      <c r="D78">
        <v>7339</v>
      </c>
      <c r="E78">
        <v>23.93</v>
      </c>
      <c r="F78">
        <v>503.24</v>
      </c>
    </row>
    <row r="79" customFormat="1" spans="1:6">
      <c r="A79">
        <v>2022</v>
      </c>
      <c r="B79" t="s">
        <v>19</v>
      </c>
      <c r="C79" t="s">
        <v>8</v>
      </c>
      <c r="D79">
        <v>7340</v>
      </c>
      <c r="E79">
        <v>47.47</v>
      </c>
      <c r="F79">
        <v>190.84</v>
      </c>
    </row>
    <row r="80" customFormat="1" spans="1:6">
      <c r="A80">
        <v>2022</v>
      </c>
      <c r="B80" t="s">
        <v>19</v>
      </c>
      <c r="C80" t="s">
        <v>9</v>
      </c>
      <c r="D80">
        <v>7341</v>
      </c>
      <c r="E80">
        <v>11.57</v>
      </c>
      <c r="F80">
        <v>373.68</v>
      </c>
    </row>
    <row r="81" customFormat="1" spans="1:6">
      <c r="A81">
        <v>2022</v>
      </c>
      <c r="B81" t="s">
        <v>19</v>
      </c>
      <c r="C81" t="s">
        <v>10</v>
      </c>
      <c r="D81">
        <v>7342</v>
      </c>
      <c r="E81">
        <v>26.72</v>
      </c>
      <c r="F81">
        <v>162.25</v>
      </c>
    </row>
    <row r="82" customFormat="1" spans="1:6">
      <c r="A82">
        <v>2022</v>
      </c>
      <c r="B82" t="s">
        <v>19</v>
      </c>
      <c r="C82" t="s">
        <v>11</v>
      </c>
      <c r="D82">
        <v>7343</v>
      </c>
      <c r="E82">
        <v>48.7</v>
      </c>
      <c r="F82">
        <v>167.8</v>
      </c>
    </row>
    <row r="83" customFormat="1" spans="1:6">
      <c r="A83">
        <v>2022</v>
      </c>
      <c r="B83" t="s">
        <v>19</v>
      </c>
      <c r="C83" t="s">
        <v>12</v>
      </c>
      <c r="D83">
        <v>7344</v>
      </c>
      <c r="E83">
        <v>31.92</v>
      </c>
      <c r="F83">
        <v>323.56</v>
      </c>
    </row>
    <row r="84" customFormat="1" spans="1:6">
      <c r="A84">
        <v>2022</v>
      </c>
      <c r="B84" t="s">
        <v>19</v>
      </c>
      <c r="C84" t="s">
        <v>13</v>
      </c>
      <c r="D84">
        <v>7345</v>
      </c>
      <c r="E84">
        <v>26.94</v>
      </c>
      <c r="F84">
        <v>385.39</v>
      </c>
    </row>
    <row r="85" customFormat="1" spans="1:6">
      <c r="A85">
        <v>2022</v>
      </c>
      <c r="B85" t="s">
        <v>19</v>
      </c>
      <c r="C85" t="s">
        <v>14</v>
      </c>
      <c r="D85">
        <v>7346</v>
      </c>
      <c r="E85">
        <v>32.74</v>
      </c>
      <c r="F85">
        <v>389.39</v>
      </c>
    </row>
    <row r="86" customFormat="1" spans="1:6">
      <c r="A86">
        <v>2022</v>
      </c>
      <c r="B86" t="s">
        <v>19</v>
      </c>
      <c r="C86" t="s">
        <v>15</v>
      </c>
      <c r="D86">
        <v>7347</v>
      </c>
      <c r="E86">
        <v>33.04</v>
      </c>
      <c r="F86">
        <v>85.12</v>
      </c>
    </row>
    <row r="87" customFormat="1" spans="1:6">
      <c r="A87">
        <v>2022</v>
      </c>
      <c r="B87" t="s">
        <v>19</v>
      </c>
      <c r="C87" t="s">
        <v>16</v>
      </c>
      <c r="D87">
        <v>7348</v>
      </c>
      <c r="E87">
        <v>39.27</v>
      </c>
      <c r="F87">
        <v>302.58</v>
      </c>
    </row>
    <row r="88" customFormat="1" spans="1:6">
      <c r="A88">
        <v>2022</v>
      </c>
      <c r="B88" t="s">
        <v>19</v>
      </c>
      <c r="C88" t="s">
        <v>17</v>
      </c>
      <c r="D88">
        <v>7349</v>
      </c>
      <c r="E88">
        <v>15.11</v>
      </c>
      <c r="F88">
        <v>273.44</v>
      </c>
    </row>
    <row r="89" customFormat="1" spans="1:6">
      <c r="A89">
        <v>2022</v>
      </c>
      <c r="B89" t="s">
        <v>20</v>
      </c>
      <c r="C89" t="s">
        <v>8</v>
      </c>
      <c r="D89">
        <v>7350</v>
      </c>
      <c r="E89">
        <v>20</v>
      </c>
      <c r="F89">
        <v>430.34</v>
      </c>
    </row>
    <row r="90" customFormat="1" spans="1:6">
      <c r="A90">
        <v>2022</v>
      </c>
      <c r="B90" t="s">
        <v>20</v>
      </c>
      <c r="C90" t="s">
        <v>9</v>
      </c>
      <c r="D90">
        <v>7351</v>
      </c>
      <c r="E90">
        <v>33.22</v>
      </c>
      <c r="F90">
        <v>196.41</v>
      </c>
    </row>
    <row r="91" customFormat="1" spans="1:6">
      <c r="A91">
        <v>2022</v>
      </c>
      <c r="B91" t="s">
        <v>20</v>
      </c>
      <c r="C91" t="s">
        <v>10</v>
      </c>
      <c r="D91">
        <v>7352</v>
      </c>
      <c r="E91">
        <v>44.68</v>
      </c>
      <c r="F91">
        <v>423.77</v>
      </c>
    </row>
    <row r="92" customFormat="1" spans="1:6">
      <c r="A92">
        <v>2022</v>
      </c>
      <c r="B92" t="s">
        <v>20</v>
      </c>
      <c r="C92" t="s">
        <v>11</v>
      </c>
      <c r="D92">
        <v>7353</v>
      </c>
      <c r="E92">
        <v>32.47</v>
      </c>
      <c r="F92">
        <v>484.28</v>
      </c>
    </row>
    <row r="93" customFormat="1" spans="1:6">
      <c r="A93">
        <v>2022</v>
      </c>
      <c r="B93" t="s">
        <v>20</v>
      </c>
      <c r="C93" t="s">
        <v>12</v>
      </c>
      <c r="D93">
        <v>7354</v>
      </c>
      <c r="E93">
        <v>19.54</v>
      </c>
      <c r="F93">
        <v>180.29</v>
      </c>
    </row>
    <row r="94" customFormat="1" spans="1:6">
      <c r="A94">
        <v>2022</v>
      </c>
      <c r="B94" t="s">
        <v>20</v>
      </c>
      <c r="C94" t="s">
        <v>13</v>
      </c>
      <c r="D94">
        <v>7355</v>
      </c>
      <c r="E94">
        <v>37.19</v>
      </c>
      <c r="F94">
        <v>408.41</v>
      </c>
    </row>
    <row r="95" customFormat="1" spans="1:6">
      <c r="A95">
        <v>2022</v>
      </c>
      <c r="B95" t="s">
        <v>20</v>
      </c>
      <c r="C95" t="s">
        <v>14</v>
      </c>
      <c r="D95">
        <v>7356</v>
      </c>
      <c r="E95">
        <v>39.6</v>
      </c>
      <c r="F95">
        <v>201.79</v>
      </c>
    </row>
    <row r="96" customFormat="1" spans="1:6">
      <c r="A96">
        <v>2022</v>
      </c>
      <c r="B96" t="s">
        <v>20</v>
      </c>
      <c r="C96" t="s">
        <v>15</v>
      </c>
      <c r="D96">
        <v>7357</v>
      </c>
      <c r="E96">
        <v>19.53</v>
      </c>
      <c r="F96">
        <v>566.35</v>
      </c>
    </row>
    <row r="97" customFormat="1" spans="1:6">
      <c r="A97">
        <v>2022</v>
      </c>
      <c r="B97" t="s">
        <v>20</v>
      </c>
      <c r="C97" t="s">
        <v>16</v>
      </c>
      <c r="D97">
        <v>7358</v>
      </c>
      <c r="E97">
        <v>25.11</v>
      </c>
      <c r="F97">
        <v>220.78</v>
      </c>
    </row>
    <row r="98" customFormat="1" spans="1:6">
      <c r="A98">
        <v>2022</v>
      </c>
      <c r="B98" t="s">
        <v>20</v>
      </c>
      <c r="C98" t="s">
        <v>17</v>
      </c>
      <c r="D98">
        <v>7359</v>
      </c>
      <c r="E98">
        <v>31.37</v>
      </c>
      <c r="F98">
        <v>501.4</v>
      </c>
    </row>
    <row r="99" customFormat="1" spans="1:6">
      <c r="A99">
        <v>2022</v>
      </c>
      <c r="B99" t="s">
        <v>20</v>
      </c>
      <c r="C99" t="s">
        <v>8</v>
      </c>
      <c r="D99">
        <v>7360</v>
      </c>
      <c r="E99">
        <v>29.86</v>
      </c>
      <c r="F99">
        <v>293.41</v>
      </c>
    </row>
    <row r="100" customFormat="1" spans="1:6">
      <c r="A100">
        <v>2022</v>
      </c>
      <c r="B100" t="s">
        <v>20</v>
      </c>
      <c r="C100" t="s">
        <v>9</v>
      </c>
      <c r="D100">
        <v>7361</v>
      </c>
      <c r="E100">
        <v>25.58</v>
      </c>
      <c r="F100">
        <v>461.19</v>
      </c>
    </row>
    <row r="101" customFormat="1" spans="1:6">
      <c r="A101">
        <v>2022</v>
      </c>
      <c r="B101" t="s">
        <v>20</v>
      </c>
      <c r="C101" t="s">
        <v>10</v>
      </c>
      <c r="D101">
        <v>7362</v>
      </c>
      <c r="E101">
        <v>21.91</v>
      </c>
      <c r="F101">
        <v>232.12</v>
      </c>
    </row>
    <row r="102" customFormat="1" spans="1:6">
      <c r="A102">
        <v>2022</v>
      </c>
      <c r="B102" t="s">
        <v>20</v>
      </c>
      <c r="C102" t="s">
        <v>11</v>
      </c>
      <c r="D102">
        <v>7363</v>
      </c>
      <c r="E102">
        <v>14</v>
      </c>
      <c r="F102">
        <v>122.5</v>
      </c>
    </row>
    <row r="103" customFormat="1" spans="1:6">
      <c r="A103">
        <v>2022</v>
      </c>
      <c r="B103" t="s">
        <v>20</v>
      </c>
      <c r="C103" t="s">
        <v>12</v>
      </c>
      <c r="D103">
        <v>7364</v>
      </c>
      <c r="E103">
        <v>12.14</v>
      </c>
      <c r="F103">
        <v>469.92</v>
      </c>
    </row>
    <row r="104" customFormat="1" spans="1:6">
      <c r="A104">
        <v>2022</v>
      </c>
      <c r="B104" t="s">
        <v>20</v>
      </c>
      <c r="C104" t="s">
        <v>13</v>
      </c>
      <c r="D104">
        <v>7365</v>
      </c>
      <c r="E104">
        <v>48.34</v>
      </c>
      <c r="F104">
        <v>71.34</v>
      </c>
    </row>
    <row r="105" customFormat="1" spans="1:6">
      <c r="A105">
        <v>2022</v>
      </c>
      <c r="B105" t="s">
        <v>20</v>
      </c>
      <c r="C105" t="s">
        <v>14</v>
      </c>
      <c r="D105">
        <v>7366</v>
      </c>
      <c r="E105">
        <v>43.89</v>
      </c>
      <c r="F105">
        <v>410.19</v>
      </c>
    </row>
    <row r="106" customFormat="1" spans="1:6">
      <c r="A106">
        <v>2022</v>
      </c>
      <c r="B106" t="s">
        <v>20</v>
      </c>
      <c r="C106" t="s">
        <v>15</v>
      </c>
      <c r="D106">
        <v>7367</v>
      </c>
      <c r="E106">
        <v>24.2</v>
      </c>
      <c r="F106">
        <v>399.13</v>
      </c>
    </row>
    <row r="107" customFormat="1" spans="1:6">
      <c r="A107">
        <v>2022</v>
      </c>
      <c r="B107" t="s">
        <v>20</v>
      </c>
      <c r="C107" t="s">
        <v>16</v>
      </c>
      <c r="D107">
        <v>7368</v>
      </c>
      <c r="E107">
        <v>48.27</v>
      </c>
      <c r="F107">
        <v>248.96</v>
      </c>
    </row>
    <row r="108" customFormat="1" spans="1:6">
      <c r="A108">
        <v>2022</v>
      </c>
      <c r="B108" t="s">
        <v>20</v>
      </c>
      <c r="C108" t="s">
        <v>17</v>
      </c>
      <c r="D108">
        <v>7369</v>
      </c>
      <c r="E108">
        <v>37.07</v>
      </c>
      <c r="F108">
        <v>69.91</v>
      </c>
    </row>
    <row r="109" customFormat="1" spans="1:6">
      <c r="A109">
        <v>2022</v>
      </c>
      <c r="B109" t="s">
        <v>20</v>
      </c>
      <c r="C109" t="s">
        <v>8</v>
      </c>
      <c r="D109">
        <v>7370</v>
      </c>
      <c r="E109">
        <v>29.3</v>
      </c>
      <c r="F109">
        <v>309.49</v>
      </c>
    </row>
    <row r="110" customFormat="1" spans="1:6">
      <c r="A110">
        <v>2022</v>
      </c>
      <c r="B110" t="s">
        <v>20</v>
      </c>
      <c r="C110" t="s">
        <v>9</v>
      </c>
      <c r="D110">
        <v>7371</v>
      </c>
      <c r="E110">
        <v>29.72</v>
      </c>
      <c r="F110">
        <v>389.22</v>
      </c>
    </row>
    <row r="111" customFormat="1" spans="1:6">
      <c r="A111">
        <v>2022</v>
      </c>
      <c r="B111" t="s">
        <v>20</v>
      </c>
      <c r="C111" t="s">
        <v>10</v>
      </c>
      <c r="D111">
        <v>7372</v>
      </c>
      <c r="E111">
        <v>13.33</v>
      </c>
      <c r="F111">
        <v>457.5</v>
      </c>
    </row>
    <row r="112" customFormat="1" spans="1:6">
      <c r="A112">
        <v>2022</v>
      </c>
      <c r="B112" t="s">
        <v>20</v>
      </c>
      <c r="C112" t="s">
        <v>11</v>
      </c>
      <c r="D112">
        <v>7373</v>
      </c>
      <c r="E112">
        <v>13.67</v>
      </c>
      <c r="F112">
        <v>425.44</v>
      </c>
    </row>
    <row r="113" customFormat="1" spans="1:6">
      <c r="A113">
        <v>2022</v>
      </c>
      <c r="B113" t="s">
        <v>20</v>
      </c>
      <c r="C113" t="s">
        <v>12</v>
      </c>
      <c r="D113">
        <v>7374</v>
      </c>
      <c r="E113">
        <v>34.1</v>
      </c>
      <c r="F113">
        <v>141.66</v>
      </c>
    </row>
    <row r="114" customFormat="1" spans="1:6">
      <c r="A114">
        <v>2022</v>
      </c>
      <c r="B114" t="s">
        <v>20</v>
      </c>
      <c r="C114" t="s">
        <v>13</v>
      </c>
      <c r="D114">
        <v>7375</v>
      </c>
      <c r="E114">
        <v>32.15</v>
      </c>
      <c r="F114">
        <v>446.54</v>
      </c>
    </row>
    <row r="115" customFormat="1" spans="1:6">
      <c r="A115">
        <v>2022</v>
      </c>
      <c r="B115" t="s">
        <v>20</v>
      </c>
      <c r="C115" t="s">
        <v>14</v>
      </c>
      <c r="D115">
        <v>7376</v>
      </c>
      <c r="E115">
        <v>18.51</v>
      </c>
      <c r="F115">
        <v>96.24</v>
      </c>
    </row>
    <row r="116" customFormat="1" spans="1:6">
      <c r="A116">
        <v>2022</v>
      </c>
      <c r="B116" t="s">
        <v>20</v>
      </c>
      <c r="C116" t="s">
        <v>15</v>
      </c>
      <c r="D116">
        <v>7377</v>
      </c>
      <c r="E116">
        <v>47.85</v>
      </c>
      <c r="F116">
        <v>160.1</v>
      </c>
    </row>
    <row r="117" customFormat="1" spans="1:6">
      <c r="A117">
        <v>2022</v>
      </c>
      <c r="B117" t="s">
        <v>20</v>
      </c>
      <c r="C117" t="s">
        <v>16</v>
      </c>
      <c r="D117">
        <v>7378</v>
      </c>
      <c r="E117">
        <v>41.25</v>
      </c>
      <c r="F117">
        <v>431.65</v>
      </c>
    </row>
    <row r="118" customFormat="1" spans="1:6">
      <c r="A118">
        <v>2022</v>
      </c>
      <c r="B118" t="s">
        <v>20</v>
      </c>
      <c r="C118" t="s">
        <v>17</v>
      </c>
      <c r="D118">
        <v>7379</v>
      </c>
      <c r="E118">
        <v>14.54</v>
      </c>
      <c r="F118">
        <v>493.13</v>
      </c>
    </row>
    <row r="119" customFormat="1" spans="1:6">
      <c r="A119">
        <v>2022</v>
      </c>
      <c r="B119" t="s">
        <v>21</v>
      </c>
      <c r="C119" t="s">
        <v>8</v>
      </c>
      <c r="D119">
        <v>7380</v>
      </c>
      <c r="E119">
        <v>47.24</v>
      </c>
      <c r="F119">
        <v>327.06</v>
      </c>
    </row>
    <row r="120" customFormat="1" spans="1:6">
      <c r="A120">
        <v>2022</v>
      </c>
      <c r="B120" t="s">
        <v>21</v>
      </c>
      <c r="C120" t="s">
        <v>9</v>
      </c>
      <c r="D120">
        <v>7381</v>
      </c>
      <c r="E120">
        <v>48.97</v>
      </c>
      <c r="F120">
        <v>328.38</v>
      </c>
    </row>
    <row r="121" customFormat="1" spans="1:6">
      <c r="A121">
        <v>2022</v>
      </c>
      <c r="B121" t="s">
        <v>21</v>
      </c>
      <c r="C121" t="s">
        <v>10</v>
      </c>
      <c r="D121">
        <v>7382</v>
      </c>
      <c r="E121">
        <v>49.84</v>
      </c>
      <c r="F121">
        <v>140.37</v>
      </c>
    </row>
    <row r="122" customFormat="1" spans="1:6">
      <c r="A122">
        <v>2022</v>
      </c>
      <c r="B122" t="s">
        <v>21</v>
      </c>
      <c r="C122" t="s">
        <v>11</v>
      </c>
      <c r="D122">
        <v>7383</v>
      </c>
      <c r="E122">
        <v>12.23</v>
      </c>
      <c r="F122">
        <v>451.41</v>
      </c>
    </row>
    <row r="123" customFormat="1" spans="1:6">
      <c r="A123">
        <v>2022</v>
      </c>
      <c r="B123" t="s">
        <v>21</v>
      </c>
      <c r="C123" t="s">
        <v>12</v>
      </c>
      <c r="D123">
        <v>7384</v>
      </c>
      <c r="E123">
        <v>39.48</v>
      </c>
      <c r="F123">
        <v>353.02</v>
      </c>
    </row>
    <row r="124" customFormat="1" spans="1:6">
      <c r="A124">
        <v>2022</v>
      </c>
      <c r="B124" t="s">
        <v>21</v>
      </c>
      <c r="C124" t="s">
        <v>13</v>
      </c>
      <c r="D124">
        <v>7385</v>
      </c>
      <c r="E124">
        <v>31.84</v>
      </c>
      <c r="F124">
        <v>411.32</v>
      </c>
    </row>
    <row r="125" customFormat="1" spans="1:6">
      <c r="A125">
        <v>2022</v>
      </c>
      <c r="B125" t="s">
        <v>21</v>
      </c>
      <c r="C125" t="s">
        <v>14</v>
      </c>
      <c r="D125">
        <v>7386</v>
      </c>
      <c r="E125">
        <v>38.23</v>
      </c>
      <c r="F125">
        <v>159.06</v>
      </c>
    </row>
    <row r="126" customFormat="1" spans="1:6">
      <c r="A126">
        <v>2022</v>
      </c>
      <c r="B126" t="s">
        <v>21</v>
      </c>
      <c r="C126" t="s">
        <v>15</v>
      </c>
      <c r="D126">
        <v>7387</v>
      </c>
      <c r="E126">
        <v>48.75</v>
      </c>
      <c r="F126">
        <v>198.66</v>
      </c>
    </row>
    <row r="127" customFormat="1" spans="1:6">
      <c r="A127">
        <v>2022</v>
      </c>
      <c r="B127" t="s">
        <v>21</v>
      </c>
      <c r="C127" t="s">
        <v>16</v>
      </c>
      <c r="D127">
        <v>7388</v>
      </c>
      <c r="E127">
        <v>37.52</v>
      </c>
      <c r="F127">
        <v>285.47</v>
      </c>
    </row>
    <row r="128" customFormat="1" spans="1:6">
      <c r="A128">
        <v>2022</v>
      </c>
      <c r="B128" t="s">
        <v>21</v>
      </c>
      <c r="C128" t="s">
        <v>17</v>
      </c>
      <c r="D128">
        <v>7389</v>
      </c>
      <c r="E128">
        <v>43.48</v>
      </c>
      <c r="F128">
        <v>116.92</v>
      </c>
    </row>
    <row r="129" customFormat="1" spans="1:6">
      <c r="A129">
        <v>2022</v>
      </c>
      <c r="B129" t="s">
        <v>21</v>
      </c>
      <c r="C129" t="s">
        <v>8</v>
      </c>
      <c r="D129">
        <v>7390</v>
      </c>
      <c r="E129">
        <v>44.67</v>
      </c>
      <c r="F129">
        <v>396.6</v>
      </c>
    </row>
    <row r="130" customFormat="1" spans="1:6">
      <c r="A130">
        <v>2022</v>
      </c>
      <c r="B130" t="s">
        <v>21</v>
      </c>
      <c r="C130" t="s">
        <v>9</v>
      </c>
      <c r="D130">
        <v>7391</v>
      </c>
      <c r="E130">
        <v>43.54</v>
      </c>
      <c r="F130">
        <v>204.83</v>
      </c>
    </row>
    <row r="131" customFormat="1" spans="1:6">
      <c r="A131">
        <v>2022</v>
      </c>
      <c r="B131" t="s">
        <v>21</v>
      </c>
      <c r="C131" t="s">
        <v>10</v>
      </c>
      <c r="D131">
        <v>7392</v>
      </c>
      <c r="E131">
        <v>27.04</v>
      </c>
      <c r="F131">
        <v>354.43</v>
      </c>
    </row>
    <row r="132" customFormat="1" spans="1:6">
      <c r="A132">
        <v>2022</v>
      </c>
      <c r="B132" t="s">
        <v>21</v>
      </c>
      <c r="C132" t="s">
        <v>11</v>
      </c>
      <c r="D132">
        <v>7393</v>
      </c>
      <c r="E132">
        <v>18.9</v>
      </c>
      <c r="F132">
        <v>213.62</v>
      </c>
    </row>
    <row r="133" customFormat="1" spans="1:6">
      <c r="A133">
        <v>2022</v>
      </c>
      <c r="B133" t="s">
        <v>21</v>
      </c>
      <c r="C133" t="s">
        <v>12</v>
      </c>
      <c r="D133">
        <v>7394</v>
      </c>
      <c r="E133">
        <v>25.87</v>
      </c>
      <c r="F133">
        <v>246.49</v>
      </c>
    </row>
    <row r="134" customFormat="1" spans="1:6">
      <c r="A134">
        <v>2022</v>
      </c>
      <c r="B134" t="s">
        <v>21</v>
      </c>
      <c r="C134" t="s">
        <v>13</v>
      </c>
      <c r="D134">
        <v>7395</v>
      </c>
      <c r="E134">
        <v>45.68</v>
      </c>
      <c r="F134">
        <v>323.95</v>
      </c>
    </row>
    <row r="135" customFormat="1" spans="1:6">
      <c r="A135">
        <v>2022</v>
      </c>
      <c r="B135" t="s">
        <v>21</v>
      </c>
      <c r="C135" t="s">
        <v>14</v>
      </c>
      <c r="D135">
        <v>7396</v>
      </c>
      <c r="E135">
        <v>15.86</v>
      </c>
      <c r="F135">
        <v>140.23</v>
      </c>
    </row>
    <row r="136" customFormat="1" spans="1:6">
      <c r="A136">
        <v>2022</v>
      </c>
      <c r="B136" t="s">
        <v>21</v>
      </c>
      <c r="C136" t="s">
        <v>15</v>
      </c>
      <c r="D136">
        <v>7397</v>
      </c>
      <c r="E136">
        <v>30.53</v>
      </c>
      <c r="F136">
        <v>348.5</v>
      </c>
    </row>
    <row r="137" customFormat="1" spans="1:6">
      <c r="A137">
        <v>2022</v>
      </c>
      <c r="B137" t="s">
        <v>21</v>
      </c>
      <c r="C137" t="s">
        <v>16</v>
      </c>
      <c r="D137">
        <v>7398</v>
      </c>
      <c r="E137">
        <v>19.33</v>
      </c>
      <c r="F137">
        <v>432.04</v>
      </c>
    </row>
    <row r="138" customFormat="1" spans="1:6">
      <c r="A138">
        <v>2022</v>
      </c>
      <c r="B138" t="s">
        <v>21</v>
      </c>
      <c r="C138" t="s">
        <v>17</v>
      </c>
      <c r="D138">
        <v>7399</v>
      </c>
      <c r="E138">
        <v>33.25</v>
      </c>
      <c r="F138">
        <v>143.52</v>
      </c>
    </row>
    <row r="139" customFormat="1" spans="1:6">
      <c r="A139">
        <v>2022</v>
      </c>
      <c r="B139" t="s">
        <v>21</v>
      </c>
      <c r="C139" t="s">
        <v>8</v>
      </c>
      <c r="D139">
        <v>7400</v>
      </c>
      <c r="E139">
        <v>44.53</v>
      </c>
      <c r="F139">
        <v>371.92</v>
      </c>
    </row>
    <row r="140" customFormat="1" spans="1:6">
      <c r="A140">
        <v>2022</v>
      </c>
      <c r="B140" t="s">
        <v>21</v>
      </c>
      <c r="C140" t="s">
        <v>9</v>
      </c>
      <c r="D140">
        <v>7401</v>
      </c>
      <c r="E140">
        <v>45.21</v>
      </c>
      <c r="F140">
        <v>325.84</v>
      </c>
    </row>
    <row r="141" customFormat="1" spans="1:6">
      <c r="A141">
        <v>2022</v>
      </c>
      <c r="B141" t="s">
        <v>21</v>
      </c>
      <c r="C141" t="s">
        <v>10</v>
      </c>
      <c r="D141">
        <v>7402</v>
      </c>
      <c r="E141">
        <v>19.47</v>
      </c>
      <c r="F141">
        <v>461.85</v>
      </c>
    </row>
    <row r="142" customFormat="1" spans="1:6">
      <c r="A142">
        <v>2022</v>
      </c>
      <c r="B142" t="s">
        <v>21</v>
      </c>
      <c r="C142" t="s">
        <v>11</v>
      </c>
      <c r="D142">
        <v>7403</v>
      </c>
      <c r="E142">
        <v>46.31</v>
      </c>
      <c r="F142">
        <v>489.76</v>
      </c>
    </row>
    <row r="143" customFormat="1" spans="1:6">
      <c r="A143">
        <v>2022</v>
      </c>
      <c r="B143" t="s">
        <v>21</v>
      </c>
      <c r="C143" t="s">
        <v>12</v>
      </c>
      <c r="D143">
        <v>7404</v>
      </c>
      <c r="E143">
        <v>33.68</v>
      </c>
      <c r="F143">
        <v>383.87</v>
      </c>
    </row>
    <row r="144" customFormat="1" spans="1:6">
      <c r="A144">
        <v>2022</v>
      </c>
      <c r="B144" t="s">
        <v>21</v>
      </c>
      <c r="C144" t="s">
        <v>13</v>
      </c>
      <c r="D144">
        <v>7405</v>
      </c>
      <c r="E144">
        <v>24.01</v>
      </c>
      <c r="F144">
        <v>315.1</v>
      </c>
    </row>
    <row r="145" customFormat="1" spans="1:6">
      <c r="A145">
        <v>2022</v>
      </c>
      <c r="B145" t="s">
        <v>21</v>
      </c>
      <c r="C145" t="s">
        <v>14</v>
      </c>
      <c r="D145">
        <v>7406</v>
      </c>
      <c r="E145">
        <v>38.33</v>
      </c>
      <c r="F145">
        <v>276.85</v>
      </c>
    </row>
    <row r="146" customFormat="1" spans="1:6">
      <c r="A146">
        <v>2022</v>
      </c>
      <c r="B146" t="s">
        <v>21</v>
      </c>
      <c r="C146" t="s">
        <v>15</v>
      </c>
      <c r="D146">
        <v>7407</v>
      </c>
      <c r="E146">
        <v>29.27</v>
      </c>
      <c r="F146">
        <v>274.87</v>
      </c>
    </row>
    <row r="147" customFormat="1" spans="1:6">
      <c r="A147">
        <v>2022</v>
      </c>
      <c r="B147" t="s">
        <v>21</v>
      </c>
      <c r="C147" t="s">
        <v>16</v>
      </c>
      <c r="D147">
        <v>7408</v>
      </c>
      <c r="E147">
        <v>25.12</v>
      </c>
      <c r="F147">
        <v>91.44</v>
      </c>
    </row>
    <row r="148" customFormat="1" spans="1:6">
      <c r="A148">
        <v>2022</v>
      </c>
      <c r="B148" t="s">
        <v>21</v>
      </c>
      <c r="C148" t="s">
        <v>17</v>
      </c>
      <c r="D148">
        <v>7409</v>
      </c>
      <c r="E148">
        <v>38.2</v>
      </c>
      <c r="F148">
        <v>135.84</v>
      </c>
    </row>
    <row r="149" customFormat="1" spans="1:6">
      <c r="A149">
        <v>2022</v>
      </c>
      <c r="B149" t="s">
        <v>21</v>
      </c>
      <c r="C149" t="s">
        <v>8</v>
      </c>
      <c r="D149">
        <v>7410</v>
      </c>
      <c r="E149">
        <v>19.95</v>
      </c>
      <c r="F149">
        <v>458.34</v>
      </c>
    </row>
    <row r="150" customFormat="1" spans="1:6">
      <c r="A150">
        <v>2022</v>
      </c>
      <c r="B150" t="s">
        <v>22</v>
      </c>
      <c r="C150" t="s">
        <v>9</v>
      </c>
      <c r="D150">
        <v>7411</v>
      </c>
      <c r="E150">
        <v>23.21</v>
      </c>
      <c r="F150">
        <v>114.66</v>
      </c>
    </row>
    <row r="151" customFormat="1" spans="1:6">
      <c r="A151">
        <v>2022</v>
      </c>
      <c r="B151" t="s">
        <v>22</v>
      </c>
      <c r="C151" t="s">
        <v>10</v>
      </c>
      <c r="D151">
        <v>7412</v>
      </c>
      <c r="E151">
        <v>27.38</v>
      </c>
      <c r="F151">
        <v>259.34</v>
      </c>
    </row>
    <row r="152" customFormat="1" spans="1:6">
      <c r="A152">
        <v>2022</v>
      </c>
      <c r="B152" t="s">
        <v>22</v>
      </c>
      <c r="C152" t="s">
        <v>11</v>
      </c>
      <c r="D152">
        <v>7413</v>
      </c>
      <c r="E152">
        <v>20.15</v>
      </c>
      <c r="F152">
        <v>257.38</v>
      </c>
    </row>
    <row r="153" customFormat="1" spans="1:6">
      <c r="A153">
        <v>2022</v>
      </c>
      <c r="B153" t="s">
        <v>22</v>
      </c>
      <c r="C153" t="s">
        <v>12</v>
      </c>
      <c r="D153">
        <v>7414</v>
      </c>
      <c r="E153">
        <v>26.21</v>
      </c>
      <c r="F153">
        <v>321.19</v>
      </c>
    </row>
    <row r="154" customFormat="1" spans="1:6">
      <c r="A154">
        <v>2022</v>
      </c>
      <c r="B154" t="s">
        <v>22</v>
      </c>
      <c r="C154" t="s">
        <v>13</v>
      </c>
      <c r="D154">
        <v>7415</v>
      </c>
      <c r="E154">
        <v>32.86</v>
      </c>
      <c r="F154">
        <v>110.74</v>
      </c>
    </row>
    <row r="155" customFormat="1" spans="1:6">
      <c r="A155">
        <v>2022</v>
      </c>
      <c r="B155" t="s">
        <v>22</v>
      </c>
      <c r="C155" t="s">
        <v>14</v>
      </c>
      <c r="D155">
        <v>7416</v>
      </c>
      <c r="E155">
        <v>39.64</v>
      </c>
      <c r="F155">
        <v>353.01</v>
      </c>
    </row>
    <row r="156" customFormat="1" spans="1:6">
      <c r="A156">
        <v>2022</v>
      </c>
      <c r="B156" t="s">
        <v>22</v>
      </c>
      <c r="C156" t="s">
        <v>15</v>
      </c>
      <c r="D156">
        <v>7417</v>
      </c>
      <c r="E156">
        <v>40.69</v>
      </c>
      <c r="F156">
        <v>145.03</v>
      </c>
    </row>
    <row r="157" customFormat="1" spans="1:6">
      <c r="A157">
        <v>2022</v>
      </c>
      <c r="B157" t="s">
        <v>22</v>
      </c>
      <c r="C157" t="s">
        <v>16</v>
      </c>
      <c r="D157">
        <v>7418</v>
      </c>
      <c r="E157">
        <v>42.91</v>
      </c>
      <c r="F157">
        <v>233.62</v>
      </c>
    </row>
    <row r="158" customFormat="1" spans="1:6">
      <c r="A158">
        <v>2022</v>
      </c>
      <c r="B158" t="s">
        <v>22</v>
      </c>
      <c r="C158" t="s">
        <v>17</v>
      </c>
      <c r="D158">
        <v>7419</v>
      </c>
      <c r="E158">
        <v>39.77</v>
      </c>
      <c r="F158">
        <v>453.31</v>
      </c>
    </row>
    <row r="159" customFormat="1" spans="1:6">
      <c r="A159">
        <v>2022</v>
      </c>
      <c r="B159" t="s">
        <v>22</v>
      </c>
      <c r="C159" t="s">
        <v>8</v>
      </c>
      <c r="D159">
        <v>7420</v>
      </c>
      <c r="E159">
        <v>37.24</v>
      </c>
      <c r="F159">
        <v>440.11</v>
      </c>
    </row>
    <row r="160" customFormat="1" spans="1:6">
      <c r="A160">
        <v>2022</v>
      </c>
      <c r="B160" t="s">
        <v>22</v>
      </c>
      <c r="C160" t="s">
        <v>9</v>
      </c>
      <c r="D160">
        <v>7421</v>
      </c>
      <c r="E160">
        <v>19.5</v>
      </c>
      <c r="F160">
        <v>138.39</v>
      </c>
    </row>
    <row r="161" customFormat="1" spans="1:6">
      <c r="A161">
        <v>2022</v>
      </c>
      <c r="B161" t="s">
        <v>22</v>
      </c>
      <c r="C161" t="s">
        <v>10</v>
      </c>
      <c r="D161">
        <v>7422</v>
      </c>
      <c r="E161">
        <v>26.01</v>
      </c>
      <c r="F161">
        <v>302.19</v>
      </c>
    </row>
    <row r="162" customFormat="1" spans="1:6">
      <c r="A162">
        <v>2022</v>
      </c>
      <c r="B162" t="s">
        <v>22</v>
      </c>
      <c r="C162" t="s">
        <v>11</v>
      </c>
      <c r="D162">
        <v>7423</v>
      </c>
      <c r="E162">
        <v>29.11</v>
      </c>
      <c r="F162">
        <v>138.96</v>
      </c>
    </row>
    <row r="163" customFormat="1" spans="1:6">
      <c r="A163">
        <v>2022</v>
      </c>
      <c r="B163" t="s">
        <v>22</v>
      </c>
      <c r="C163" t="s">
        <v>12</v>
      </c>
      <c r="D163">
        <v>7424</v>
      </c>
      <c r="E163">
        <v>13.32</v>
      </c>
      <c r="F163">
        <v>309.6</v>
      </c>
    </row>
    <row r="164" customFormat="1" spans="1:6">
      <c r="A164">
        <v>2022</v>
      </c>
      <c r="B164" t="s">
        <v>22</v>
      </c>
      <c r="C164" t="s">
        <v>13</v>
      </c>
      <c r="D164">
        <v>7425</v>
      </c>
      <c r="E164">
        <v>31.13</v>
      </c>
      <c r="F164">
        <v>33.97</v>
      </c>
    </row>
    <row r="165" customFormat="1" spans="1:6">
      <c r="A165">
        <v>2022</v>
      </c>
      <c r="B165" t="s">
        <v>22</v>
      </c>
      <c r="C165" t="s">
        <v>14</v>
      </c>
      <c r="D165">
        <v>7426</v>
      </c>
      <c r="E165">
        <v>27.45</v>
      </c>
      <c r="F165">
        <v>468.13</v>
      </c>
    </row>
    <row r="166" customFormat="1" spans="1:6">
      <c r="A166">
        <v>2022</v>
      </c>
      <c r="B166" t="s">
        <v>22</v>
      </c>
      <c r="C166" t="s">
        <v>15</v>
      </c>
      <c r="D166">
        <v>7427</v>
      </c>
      <c r="E166">
        <v>42.08</v>
      </c>
      <c r="F166">
        <v>347.01</v>
      </c>
    </row>
    <row r="167" customFormat="1" spans="1:6">
      <c r="A167">
        <v>2022</v>
      </c>
      <c r="B167" t="s">
        <v>22</v>
      </c>
      <c r="C167" t="s">
        <v>16</v>
      </c>
      <c r="D167">
        <v>7428</v>
      </c>
      <c r="E167">
        <v>49.12</v>
      </c>
      <c r="F167">
        <v>399.31</v>
      </c>
    </row>
    <row r="168" customFormat="1" spans="1:6">
      <c r="A168">
        <v>2022</v>
      </c>
      <c r="B168" t="s">
        <v>22</v>
      </c>
      <c r="C168" t="s">
        <v>17</v>
      </c>
      <c r="D168">
        <v>7429</v>
      </c>
      <c r="E168">
        <v>32.24</v>
      </c>
      <c r="F168">
        <v>383.28</v>
      </c>
    </row>
    <row r="169" customFormat="1" spans="1:6">
      <c r="A169">
        <v>2022</v>
      </c>
      <c r="B169" t="s">
        <v>22</v>
      </c>
      <c r="C169" t="s">
        <v>8</v>
      </c>
      <c r="D169">
        <v>7430</v>
      </c>
      <c r="E169">
        <v>22.91</v>
      </c>
      <c r="F169">
        <v>318.39</v>
      </c>
    </row>
    <row r="170" customFormat="1" spans="1:6">
      <c r="A170">
        <v>2022</v>
      </c>
      <c r="B170" t="s">
        <v>22</v>
      </c>
      <c r="C170" t="s">
        <v>9</v>
      </c>
      <c r="D170">
        <v>7431</v>
      </c>
      <c r="E170">
        <v>11.74</v>
      </c>
      <c r="F170">
        <v>362.95</v>
      </c>
    </row>
    <row r="171" customFormat="1" spans="1:6">
      <c r="A171">
        <v>2022</v>
      </c>
      <c r="B171" t="s">
        <v>22</v>
      </c>
      <c r="C171" t="s">
        <v>10</v>
      </c>
      <c r="D171">
        <v>7432</v>
      </c>
      <c r="E171">
        <v>46.99</v>
      </c>
      <c r="F171">
        <v>130.24</v>
      </c>
    </row>
    <row r="172" customFormat="1" spans="1:6">
      <c r="A172">
        <v>2022</v>
      </c>
      <c r="B172" t="s">
        <v>22</v>
      </c>
      <c r="C172" t="s">
        <v>11</v>
      </c>
      <c r="D172">
        <v>7433</v>
      </c>
      <c r="E172">
        <v>46.76</v>
      </c>
      <c r="F172">
        <v>352.46</v>
      </c>
    </row>
    <row r="173" customFormat="1" spans="1:6">
      <c r="A173">
        <v>2022</v>
      </c>
      <c r="B173" t="s">
        <v>22</v>
      </c>
      <c r="C173" t="s">
        <v>12</v>
      </c>
      <c r="D173">
        <v>7434</v>
      </c>
      <c r="E173">
        <v>20.12</v>
      </c>
      <c r="F173">
        <v>377.05</v>
      </c>
    </row>
    <row r="174" customFormat="1" spans="1:6">
      <c r="A174">
        <v>2022</v>
      </c>
      <c r="B174" t="s">
        <v>22</v>
      </c>
      <c r="C174" t="s">
        <v>13</v>
      </c>
      <c r="D174">
        <v>7435</v>
      </c>
      <c r="E174">
        <v>37.82</v>
      </c>
      <c r="F174">
        <v>257.68</v>
      </c>
    </row>
    <row r="175" customFormat="1" spans="1:6">
      <c r="A175">
        <v>2022</v>
      </c>
      <c r="B175" t="s">
        <v>22</v>
      </c>
      <c r="C175" t="s">
        <v>14</v>
      </c>
      <c r="D175">
        <v>7436</v>
      </c>
      <c r="E175">
        <v>13.02</v>
      </c>
      <c r="F175">
        <v>244.47</v>
      </c>
    </row>
    <row r="176" customFormat="1" spans="1:6">
      <c r="A176">
        <v>2022</v>
      </c>
      <c r="B176" t="s">
        <v>22</v>
      </c>
      <c r="C176" t="s">
        <v>15</v>
      </c>
      <c r="D176">
        <v>7437</v>
      </c>
      <c r="E176">
        <v>16.65</v>
      </c>
      <c r="F176">
        <v>77.64</v>
      </c>
    </row>
    <row r="177" customFormat="1" spans="1:6">
      <c r="A177">
        <v>2022</v>
      </c>
      <c r="B177" t="s">
        <v>22</v>
      </c>
      <c r="C177" t="s">
        <v>16</v>
      </c>
      <c r="D177">
        <v>7438</v>
      </c>
      <c r="E177">
        <v>18.67</v>
      </c>
      <c r="F177">
        <v>339.92</v>
      </c>
    </row>
    <row r="178" customFormat="1" spans="1:6">
      <c r="A178">
        <v>2022</v>
      </c>
      <c r="B178" t="s">
        <v>22</v>
      </c>
      <c r="C178" t="s">
        <v>17</v>
      </c>
      <c r="D178">
        <v>7439</v>
      </c>
      <c r="E178">
        <v>21.78</v>
      </c>
      <c r="F178">
        <v>524.74</v>
      </c>
    </row>
    <row r="179" customFormat="1" spans="1:6">
      <c r="A179">
        <v>2022</v>
      </c>
      <c r="B179" t="s">
        <v>22</v>
      </c>
      <c r="C179" t="s">
        <v>8</v>
      </c>
      <c r="D179">
        <v>7440</v>
      </c>
      <c r="E179">
        <v>49.83</v>
      </c>
      <c r="F179">
        <v>275.9</v>
      </c>
    </row>
    <row r="180" customFormat="1" spans="1:6">
      <c r="A180">
        <v>2022</v>
      </c>
      <c r="B180" t="s">
        <v>23</v>
      </c>
      <c r="C180" t="s">
        <v>9</v>
      </c>
      <c r="D180">
        <v>7441</v>
      </c>
      <c r="E180">
        <v>37.88</v>
      </c>
      <c r="F180">
        <v>133.28</v>
      </c>
    </row>
    <row r="181" customFormat="1" spans="1:6">
      <c r="A181">
        <v>2022</v>
      </c>
      <c r="B181" t="s">
        <v>23</v>
      </c>
      <c r="C181" t="s">
        <v>10</v>
      </c>
      <c r="D181">
        <v>7442</v>
      </c>
      <c r="E181">
        <v>25.37</v>
      </c>
      <c r="F181">
        <v>472.62</v>
      </c>
    </row>
    <row r="182" customFormat="1" spans="1:6">
      <c r="A182">
        <v>2022</v>
      </c>
      <c r="B182" t="s">
        <v>23</v>
      </c>
      <c r="C182" t="s">
        <v>11</v>
      </c>
      <c r="D182">
        <v>7443</v>
      </c>
      <c r="E182">
        <v>39.48</v>
      </c>
      <c r="F182">
        <v>218.74</v>
      </c>
    </row>
    <row r="183" customFormat="1" spans="1:6">
      <c r="A183">
        <v>2022</v>
      </c>
      <c r="B183" t="s">
        <v>23</v>
      </c>
      <c r="C183" t="s">
        <v>12</v>
      </c>
      <c r="D183">
        <v>7444</v>
      </c>
      <c r="E183">
        <v>46.61</v>
      </c>
      <c r="F183">
        <v>450.16</v>
      </c>
    </row>
    <row r="184" customFormat="1" spans="1:6">
      <c r="A184">
        <v>2022</v>
      </c>
      <c r="B184" t="s">
        <v>23</v>
      </c>
      <c r="C184" t="s">
        <v>13</v>
      </c>
      <c r="D184">
        <v>7445</v>
      </c>
      <c r="E184">
        <v>48.35</v>
      </c>
      <c r="F184">
        <v>64.3</v>
      </c>
    </row>
    <row r="185" customFormat="1" spans="1:6">
      <c r="A185">
        <v>2022</v>
      </c>
      <c r="B185" t="s">
        <v>23</v>
      </c>
      <c r="C185" t="s">
        <v>14</v>
      </c>
      <c r="D185">
        <v>7446</v>
      </c>
      <c r="E185">
        <v>12.31</v>
      </c>
      <c r="F185">
        <v>441.73</v>
      </c>
    </row>
    <row r="186" customFormat="1" spans="1:6">
      <c r="A186">
        <v>2022</v>
      </c>
      <c r="B186" t="s">
        <v>23</v>
      </c>
      <c r="C186" t="s">
        <v>15</v>
      </c>
      <c r="D186">
        <v>7447</v>
      </c>
      <c r="E186">
        <v>25.78</v>
      </c>
      <c r="F186">
        <v>166.79</v>
      </c>
    </row>
    <row r="187" customFormat="1" spans="1:6">
      <c r="A187">
        <v>2022</v>
      </c>
      <c r="B187" t="s">
        <v>23</v>
      </c>
      <c r="C187" t="s">
        <v>16</v>
      </c>
      <c r="D187">
        <v>7448</v>
      </c>
      <c r="E187">
        <v>14.27</v>
      </c>
      <c r="F187">
        <v>363.36</v>
      </c>
    </row>
    <row r="188" customFormat="1" spans="1:6">
      <c r="A188">
        <v>2022</v>
      </c>
      <c r="B188" t="s">
        <v>23</v>
      </c>
      <c r="C188" t="s">
        <v>17</v>
      </c>
      <c r="D188">
        <v>7449</v>
      </c>
      <c r="E188">
        <v>23.43</v>
      </c>
      <c r="F188">
        <v>493.88</v>
      </c>
    </row>
    <row r="189" customFormat="1" spans="1:6">
      <c r="A189">
        <v>2022</v>
      </c>
      <c r="B189" t="s">
        <v>23</v>
      </c>
      <c r="C189" t="s">
        <v>8</v>
      </c>
      <c r="D189">
        <v>7450</v>
      </c>
      <c r="E189">
        <v>16.79</v>
      </c>
      <c r="F189">
        <v>298.57</v>
      </c>
    </row>
    <row r="190" customFormat="1" spans="1:6">
      <c r="A190">
        <v>2022</v>
      </c>
      <c r="B190" t="s">
        <v>23</v>
      </c>
      <c r="C190" t="s">
        <v>9</v>
      </c>
      <c r="D190">
        <v>7451</v>
      </c>
      <c r="E190">
        <v>35.87</v>
      </c>
      <c r="F190">
        <v>168.18</v>
      </c>
    </row>
    <row r="191" customFormat="1" spans="1:6">
      <c r="A191">
        <v>2022</v>
      </c>
      <c r="B191" t="s">
        <v>23</v>
      </c>
      <c r="C191" t="s">
        <v>10</v>
      </c>
      <c r="D191">
        <v>7452</v>
      </c>
      <c r="E191">
        <v>25.53</v>
      </c>
      <c r="F191">
        <v>116.09</v>
      </c>
    </row>
    <row r="192" customFormat="1" spans="1:6">
      <c r="A192">
        <v>2022</v>
      </c>
      <c r="B192" t="s">
        <v>23</v>
      </c>
      <c r="C192" t="s">
        <v>11</v>
      </c>
      <c r="D192">
        <v>7453</v>
      </c>
      <c r="E192">
        <v>19.18</v>
      </c>
      <c r="F192">
        <v>226.87</v>
      </c>
    </row>
    <row r="193" customFormat="1" spans="1:6">
      <c r="A193">
        <v>2022</v>
      </c>
      <c r="B193" t="s">
        <v>23</v>
      </c>
      <c r="C193" t="s">
        <v>12</v>
      </c>
      <c r="D193">
        <v>7454</v>
      </c>
      <c r="E193">
        <v>20.64</v>
      </c>
      <c r="F193">
        <v>457.48</v>
      </c>
    </row>
    <row r="194" customFormat="1" spans="1:6">
      <c r="A194">
        <v>2022</v>
      </c>
      <c r="B194" t="s">
        <v>23</v>
      </c>
      <c r="C194" t="s">
        <v>13</v>
      </c>
      <c r="D194">
        <v>7455</v>
      </c>
      <c r="E194">
        <v>24.41</v>
      </c>
      <c r="F194">
        <v>417.17</v>
      </c>
    </row>
    <row r="195" customFormat="1" spans="1:6">
      <c r="A195">
        <v>2022</v>
      </c>
      <c r="B195" t="s">
        <v>23</v>
      </c>
      <c r="C195" t="s">
        <v>14</v>
      </c>
      <c r="D195">
        <v>7456</v>
      </c>
      <c r="E195">
        <v>20.4</v>
      </c>
      <c r="F195">
        <v>179.37</v>
      </c>
    </row>
    <row r="196" customFormat="1" spans="1:6">
      <c r="A196">
        <v>2022</v>
      </c>
      <c r="B196" t="s">
        <v>23</v>
      </c>
      <c r="C196" t="s">
        <v>15</v>
      </c>
      <c r="D196">
        <v>7457</v>
      </c>
      <c r="E196">
        <v>28.13</v>
      </c>
      <c r="F196">
        <v>498.1</v>
      </c>
    </row>
    <row r="197" customFormat="1" spans="1:6">
      <c r="A197">
        <v>2022</v>
      </c>
      <c r="B197" t="s">
        <v>23</v>
      </c>
      <c r="C197" t="s">
        <v>16</v>
      </c>
      <c r="D197">
        <v>7458</v>
      </c>
      <c r="E197">
        <v>11.29</v>
      </c>
      <c r="F197">
        <v>252.1</v>
      </c>
    </row>
    <row r="198" customFormat="1" spans="1:6">
      <c r="A198">
        <v>2022</v>
      </c>
      <c r="B198" t="s">
        <v>23</v>
      </c>
      <c r="C198" t="s">
        <v>17</v>
      </c>
      <c r="D198">
        <v>7459</v>
      </c>
      <c r="E198">
        <v>21.19</v>
      </c>
      <c r="F198">
        <v>151.12</v>
      </c>
    </row>
    <row r="199" customFormat="1" spans="1:6">
      <c r="A199">
        <v>2022</v>
      </c>
      <c r="B199" t="s">
        <v>23</v>
      </c>
      <c r="C199" t="s">
        <v>8</v>
      </c>
      <c r="D199">
        <v>7460</v>
      </c>
      <c r="E199">
        <v>26.45</v>
      </c>
      <c r="F199">
        <v>153.83</v>
      </c>
    </row>
    <row r="200" customFormat="1" spans="1:6">
      <c r="A200">
        <v>2022</v>
      </c>
      <c r="B200" t="s">
        <v>23</v>
      </c>
      <c r="C200" t="s">
        <v>9</v>
      </c>
      <c r="D200">
        <v>7461</v>
      </c>
      <c r="E200">
        <v>34.11</v>
      </c>
      <c r="F200">
        <v>491.13</v>
      </c>
    </row>
    <row r="201" customFormat="1" spans="1:6">
      <c r="A201">
        <v>2022</v>
      </c>
      <c r="B201" t="s">
        <v>23</v>
      </c>
      <c r="C201" t="s">
        <v>10</v>
      </c>
      <c r="D201">
        <v>7462</v>
      </c>
      <c r="E201">
        <v>20.84</v>
      </c>
      <c r="F201">
        <v>214.28</v>
      </c>
    </row>
    <row r="202" customFormat="1" spans="1:6">
      <c r="A202">
        <v>2022</v>
      </c>
      <c r="B202" t="s">
        <v>23</v>
      </c>
      <c r="C202" t="s">
        <v>11</v>
      </c>
      <c r="D202">
        <v>7463</v>
      </c>
      <c r="E202">
        <v>15.33</v>
      </c>
      <c r="F202">
        <v>199.87</v>
      </c>
    </row>
    <row r="203" customFormat="1" spans="1:6">
      <c r="A203">
        <v>2022</v>
      </c>
      <c r="B203" t="s">
        <v>23</v>
      </c>
      <c r="C203" t="s">
        <v>12</v>
      </c>
      <c r="D203">
        <v>7464</v>
      </c>
      <c r="E203">
        <v>13.05</v>
      </c>
      <c r="F203">
        <v>359.75</v>
      </c>
    </row>
    <row r="204" customFormat="1" spans="1:6">
      <c r="A204">
        <v>2022</v>
      </c>
      <c r="B204" t="s">
        <v>23</v>
      </c>
      <c r="C204" t="s">
        <v>13</v>
      </c>
      <c r="D204">
        <v>7465</v>
      </c>
      <c r="E204">
        <v>47.62</v>
      </c>
      <c r="F204">
        <v>402.59</v>
      </c>
    </row>
    <row r="205" customFormat="1" spans="1:6">
      <c r="A205">
        <v>2022</v>
      </c>
      <c r="B205" t="s">
        <v>23</v>
      </c>
      <c r="C205" t="s">
        <v>14</v>
      </c>
      <c r="D205">
        <v>7466</v>
      </c>
      <c r="E205">
        <v>26.67</v>
      </c>
      <c r="F205">
        <v>179.91</v>
      </c>
    </row>
    <row r="206" customFormat="1" spans="1:6">
      <c r="A206">
        <v>2022</v>
      </c>
      <c r="B206" t="s">
        <v>23</v>
      </c>
      <c r="C206" t="s">
        <v>15</v>
      </c>
      <c r="D206">
        <v>7467</v>
      </c>
      <c r="E206">
        <v>33.25</v>
      </c>
      <c r="F206">
        <v>306.35</v>
      </c>
    </row>
    <row r="207" customFormat="1" spans="1:6">
      <c r="A207">
        <v>2022</v>
      </c>
      <c r="B207" t="s">
        <v>23</v>
      </c>
      <c r="C207" t="s">
        <v>16</v>
      </c>
      <c r="D207">
        <v>7468</v>
      </c>
      <c r="E207">
        <v>46.77</v>
      </c>
      <c r="F207">
        <v>137.31</v>
      </c>
    </row>
    <row r="208" customFormat="1" spans="1:6">
      <c r="A208">
        <v>2022</v>
      </c>
      <c r="B208" t="s">
        <v>23</v>
      </c>
      <c r="C208" t="s">
        <v>17</v>
      </c>
      <c r="D208">
        <v>7469</v>
      </c>
      <c r="E208">
        <v>13.31</v>
      </c>
      <c r="F208">
        <v>472.26</v>
      </c>
    </row>
    <row r="209" customFormat="1" spans="1:6">
      <c r="A209">
        <v>2022</v>
      </c>
      <c r="B209" t="s">
        <v>23</v>
      </c>
      <c r="C209" t="s">
        <v>8</v>
      </c>
      <c r="D209">
        <v>7470</v>
      </c>
      <c r="E209">
        <v>45.07</v>
      </c>
      <c r="F209">
        <v>451.52</v>
      </c>
    </row>
    <row r="210" customFormat="1" spans="1:6">
      <c r="A210">
        <v>2022</v>
      </c>
      <c r="B210" t="s">
        <v>23</v>
      </c>
      <c r="C210" t="s">
        <v>9</v>
      </c>
      <c r="D210">
        <v>7471</v>
      </c>
      <c r="E210">
        <v>32.06</v>
      </c>
      <c r="F210">
        <v>399</v>
      </c>
    </row>
    <row r="211" customFormat="1" spans="1:6">
      <c r="A211">
        <v>2022</v>
      </c>
      <c r="B211" t="s">
        <v>24</v>
      </c>
      <c r="C211" t="s">
        <v>10</v>
      </c>
      <c r="D211">
        <v>7472</v>
      </c>
      <c r="E211">
        <v>16.59</v>
      </c>
      <c r="F211">
        <v>355.5</v>
      </c>
    </row>
    <row r="212" customFormat="1" spans="1:6">
      <c r="A212">
        <v>2022</v>
      </c>
      <c r="B212" t="s">
        <v>24</v>
      </c>
      <c r="C212" t="s">
        <v>11</v>
      </c>
      <c r="D212">
        <v>7473</v>
      </c>
      <c r="E212">
        <v>26.45</v>
      </c>
      <c r="F212">
        <v>244.46</v>
      </c>
    </row>
    <row r="213" customFormat="1" spans="1:6">
      <c r="A213">
        <v>2022</v>
      </c>
      <c r="B213" t="s">
        <v>24</v>
      </c>
      <c r="C213" t="s">
        <v>12</v>
      </c>
      <c r="D213">
        <v>7474</v>
      </c>
      <c r="E213">
        <v>41.1</v>
      </c>
      <c r="F213">
        <v>97.8</v>
      </c>
    </row>
    <row r="214" customFormat="1" spans="1:6">
      <c r="A214">
        <v>2022</v>
      </c>
      <c r="B214" t="s">
        <v>24</v>
      </c>
      <c r="C214" t="s">
        <v>13</v>
      </c>
      <c r="D214">
        <v>7475</v>
      </c>
      <c r="E214">
        <v>29.21</v>
      </c>
      <c r="F214">
        <v>381.05</v>
      </c>
    </row>
    <row r="215" customFormat="1" spans="1:6">
      <c r="A215">
        <v>2022</v>
      </c>
      <c r="B215" t="s">
        <v>24</v>
      </c>
      <c r="C215" t="s">
        <v>14</v>
      </c>
      <c r="D215">
        <v>7476</v>
      </c>
      <c r="E215">
        <v>49.41</v>
      </c>
      <c r="F215">
        <v>465.57</v>
      </c>
    </row>
    <row r="216" customFormat="1" spans="1:6">
      <c r="A216">
        <v>2022</v>
      </c>
      <c r="B216" t="s">
        <v>24</v>
      </c>
      <c r="C216" t="s">
        <v>15</v>
      </c>
      <c r="D216">
        <v>7477</v>
      </c>
      <c r="E216">
        <v>25.07</v>
      </c>
      <c r="F216">
        <v>204.78</v>
      </c>
    </row>
    <row r="217" customFormat="1" spans="1:6">
      <c r="A217">
        <v>2022</v>
      </c>
      <c r="B217" t="s">
        <v>24</v>
      </c>
      <c r="C217" t="s">
        <v>16</v>
      </c>
      <c r="D217">
        <v>7478</v>
      </c>
      <c r="E217">
        <v>39.98</v>
      </c>
      <c r="F217">
        <v>335.52</v>
      </c>
    </row>
    <row r="218" customFormat="1" spans="1:6">
      <c r="A218">
        <v>2022</v>
      </c>
      <c r="B218" t="s">
        <v>24</v>
      </c>
      <c r="C218" t="s">
        <v>17</v>
      </c>
      <c r="D218">
        <v>7479</v>
      </c>
      <c r="E218">
        <v>25.72</v>
      </c>
      <c r="F218">
        <v>272.53</v>
      </c>
    </row>
    <row r="219" customFormat="1" spans="1:6">
      <c r="A219">
        <v>2022</v>
      </c>
      <c r="B219" t="s">
        <v>24</v>
      </c>
      <c r="C219" t="s">
        <v>8</v>
      </c>
      <c r="D219">
        <v>7480</v>
      </c>
      <c r="E219">
        <v>43.17</v>
      </c>
      <c r="F219">
        <v>182.71</v>
      </c>
    </row>
    <row r="220" customFormat="1" spans="1:6">
      <c r="A220">
        <v>2022</v>
      </c>
      <c r="B220" t="s">
        <v>24</v>
      </c>
      <c r="C220" t="s">
        <v>9</v>
      </c>
      <c r="D220">
        <v>7481</v>
      </c>
      <c r="E220">
        <v>32.76</v>
      </c>
      <c r="F220">
        <v>414.14</v>
      </c>
    </row>
    <row r="221" customFormat="1" spans="1:6">
      <c r="A221">
        <v>2022</v>
      </c>
      <c r="B221" t="s">
        <v>24</v>
      </c>
      <c r="C221" t="s">
        <v>10</v>
      </c>
      <c r="D221">
        <v>7482</v>
      </c>
      <c r="E221">
        <v>12.54</v>
      </c>
      <c r="F221">
        <v>460.9</v>
      </c>
    </row>
    <row r="222" customFormat="1" spans="1:6">
      <c r="A222">
        <v>2022</v>
      </c>
      <c r="B222" t="s">
        <v>24</v>
      </c>
      <c r="C222" t="s">
        <v>11</v>
      </c>
      <c r="D222">
        <v>7483</v>
      </c>
      <c r="E222">
        <v>11.47</v>
      </c>
      <c r="F222">
        <v>257.19</v>
      </c>
    </row>
    <row r="223" customFormat="1" spans="1:6">
      <c r="A223">
        <v>2022</v>
      </c>
      <c r="B223" t="s">
        <v>24</v>
      </c>
      <c r="C223" t="s">
        <v>12</v>
      </c>
      <c r="D223">
        <v>7484</v>
      </c>
      <c r="E223">
        <v>15.35</v>
      </c>
      <c r="F223">
        <v>213.33</v>
      </c>
    </row>
    <row r="224" customFormat="1" spans="1:6">
      <c r="A224">
        <v>2022</v>
      </c>
      <c r="B224" t="s">
        <v>24</v>
      </c>
      <c r="C224" t="s">
        <v>13</v>
      </c>
      <c r="D224">
        <v>7485</v>
      </c>
      <c r="E224">
        <v>10.55</v>
      </c>
      <c r="F224">
        <v>155.84</v>
      </c>
    </row>
    <row r="225" customFormat="1" spans="1:6">
      <c r="A225">
        <v>2022</v>
      </c>
      <c r="B225" t="s">
        <v>24</v>
      </c>
      <c r="C225" t="s">
        <v>14</v>
      </c>
      <c r="D225">
        <v>7486</v>
      </c>
      <c r="E225">
        <v>13.01</v>
      </c>
      <c r="F225">
        <v>336.27</v>
      </c>
    </row>
    <row r="226" customFormat="1" spans="1:6">
      <c r="A226">
        <v>2022</v>
      </c>
      <c r="B226" t="s">
        <v>24</v>
      </c>
      <c r="C226" t="s">
        <v>15</v>
      </c>
      <c r="D226">
        <v>7487</v>
      </c>
      <c r="E226">
        <v>37.67</v>
      </c>
      <c r="F226">
        <v>372.08</v>
      </c>
    </row>
    <row r="227" customFormat="1" spans="1:6">
      <c r="A227">
        <v>2022</v>
      </c>
      <c r="B227" t="s">
        <v>24</v>
      </c>
      <c r="C227" t="s">
        <v>16</v>
      </c>
      <c r="D227">
        <v>7488</v>
      </c>
      <c r="E227">
        <v>31.37</v>
      </c>
      <c r="F227">
        <v>357.01</v>
      </c>
    </row>
    <row r="228" customFormat="1" spans="1:6">
      <c r="A228">
        <v>2022</v>
      </c>
      <c r="B228" t="s">
        <v>24</v>
      </c>
      <c r="C228" t="s">
        <v>17</v>
      </c>
      <c r="D228">
        <v>7489</v>
      </c>
      <c r="E228">
        <v>40</v>
      </c>
      <c r="F228">
        <v>134.34</v>
      </c>
    </row>
    <row r="229" customFormat="1" spans="1:6">
      <c r="A229">
        <v>2022</v>
      </c>
      <c r="B229" t="s">
        <v>24</v>
      </c>
      <c r="C229" t="s">
        <v>8</v>
      </c>
      <c r="D229">
        <v>7490</v>
      </c>
      <c r="E229">
        <v>46.53</v>
      </c>
      <c r="F229">
        <v>319.74</v>
      </c>
    </row>
    <row r="230" customFormat="1" spans="1:6">
      <c r="A230">
        <v>2022</v>
      </c>
      <c r="B230" t="s">
        <v>24</v>
      </c>
      <c r="C230" t="s">
        <v>9</v>
      </c>
      <c r="D230">
        <v>7491</v>
      </c>
      <c r="E230">
        <v>33.41</v>
      </c>
      <c r="F230">
        <v>218.3</v>
      </c>
    </row>
    <row r="231" customFormat="1" spans="1:6">
      <c r="A231">
        <v>2022</v>
      </c>
      <c r="B231" t="s">
        <v>24</v>
      </c>
      <c r="C231" t="s">
        <v>10</v>
      </c>
      <c r="D231">
        <v>7492</v>
      </c>
      <c r="E231">
        <v>39.04</v>
      </c>
      <c r="F231">
        <v>464.17</v>
      </c>
    </row>
    <row r="232" customFormat="1" spans="1:6">
      <c r="A232">
        <v>2022</v>
      </c>
      <c r="B232" t="s">
        <v>24</v>
      </c>
      <c r="C232" t="s">
        <v>11</v>
      </c>
      <c r="D232">
        <v>7493</v>
      </c>
      <c r="E232">
        <v>40.28</v>
      </c>
      <c r="F232">
        <v>185.79</v>
      </c>
    </row>
    <row r="233" customFormat="1" spans="1:6">
      <c r="A233">
        <v>2022</v>
      </c>
      <c r="B233" t="s">
        <v>24</v>
      </c>
      <c r="C233" t="s">
        <v>12</v>
      </c>
      <c r="D233">
        <v>7494</v>
      </c>
      <c r="E233">
        <v>25.11</v>
      </c>
      <c r="F233">
        <v>340.98</v>
      </c>
    </row>
    <row r="234" customFormat="1" spans="1:6">
      <c r="A234">
        <v>2022</v>
      </c>
      <c r="B234" t="s">
        <v>24</v>
      </c>
      <c r="C234" t="s">
        <v>13</v>
      </c>
      <c r="D234">
        <v>7495</v>
      </c>
      <c r="E234">
        <v>19.64</v>
      </c>
      <c r="F234">
        <v>68.4</v>
      </c>
    </row>
    <row r="235" customFormat="1" spans="1:6">
      <c r="A235">
        <v>2022</v>
      </c>
      <c r="B235" t="s">
        <v>24</v>
      </c>
      <c r="C235" t="s">
        <v>14</v>
      </c>
      <c r="D235">
        <v>7496</v>
      </c>
      <c r="E235">
        <v>18.2</v>
      </c>
      <c r="F235">
        <v>206.39</v>
      </c>
    </row>
    <row r="236" customFormat="1" spans="1:6">
      <c r="A236">
        <v>2022</v>
      </c>
      <c r="B236" t="s">
        <v>24</v>
      </c>
      <c r="C236" t="s">
        <v>15</v>
      </c>
      <c r="D236">
        <v>7497</v>
      </c>
      <c r="E236">
        <v>20.06</v>
      </c>
      <c r="F236">
        <v>205.65</v>
      </c>
    </row>
    <row r="237" customFormat="1" spans="1:6">
      <c r="A237">
        <v>2022</v>
      </c>
      <c r="B237" t="s">
        <v>24</v>
      </c>
      <c r="C237" t="s">
        <v>16</v>
      </c>
      <c r="D237">
        <v>7498</v>
      </c>
      <c r="E237">
        <v>20.99</v>
      </c>
      <c r="F237">
        <v>337.7</v>
      </c>
    </row>
    <row r="238" customFormat="1" spans="1:6">
      <c r="A238">
        <v>2022</v>
      </c>
      <c r="B238" t="s">
        <v>24</v>
      </c>
      <c r="C238" t="s">
        <v>17</v>
      </c>
      <c r="D238">
        <v>7499</v>
      </c>
      <c r="E238">
        <v>18.29</v>
      </c>
      <c r="F238">
        <v>273.05</v>
      </c>
    </row>
    <row r="239" customFormat="1" spans="1:6">
      <c r="A239">
        <v>2022</v>
      </c>
      <c r="B239" t="s">
        <v>24</v>
      </c>
      <c r="C239" t="s">
        <v>8</v>
      </c>
      <c r="D239">
        <v>7500</v>
      </c>
      <c r="E239">
        <v>45.13</v>
      </c>
      <c r="F239">
        <v>244.51</v>
      </c>
    </row>
    <row r="240" customFormat="1" spans="1:6">
      <c r="A240">
        <v>2022</v>
      </c>
      <c r="B240" t="s">
        <v>24</v>
      </c>
      <c r="C240" t="s">
        <v>9</v>
      </c>
      <c r="D240">
        <v>7501</v>
      </c>
      <c r="E240">
        <v>40.28</v>
      </c>
      <c r="F240">
        <v>95.15</v>
      </c>
    </row>
    <row r="241" customFormat="1" spans="1:6">
      <c r="A241">
        <v>2022</v>
      </c>
      <c r="B241" t="s">
        <v>24</v>
      </c>
      <c r="C241" t="s">
        <v>10</v>
      </c>
      <c r="D241">
        <v>7502</v>
      </c>
      <c r="E241">
        <v>11.88</v>
      </c>
      <c r="F241">
        <v>496.88</v>
      </c>
    </row>
    <row r="242" customFormat="1" spans="1:6">
      <c r="A242">
        <v>2022</v>
      </c>
      <c r="B242" t="s">
        <v>25</v>
      </c>
      <c r="C242" t="s">
        <v>11</v>
      </c>
      <c r="D242">
        <v>7503</v>
      </c>
      <c r="E242">
        <v>20.75</v>
      </c>
      <c r="F242">
        <v>382.92</v>
      </c>
    </row>
    <row r="243" customFormat="1" spans="1:6">
      <c r="A243">
        <v>2022</v>
      </c>
      <c r="B243" t="s">
        <v>25</v>
      </c>
      <c r="C243" t="s">
        <v>12</v>
      </c>
      <c r="D243">
        <v>7504</v>
      </c>
      <c r="E243">
        <v>10.89</v>
      </c>
      <c r="F243">
        <v>425.76</v>
      </c>
    </row>
    <row r="244" customFormat="1" spans="1:6">
      <c r="A244">
        <v>2022</v>
      </c>
      <c r="B244" t="s">
        <v>25</v>
      </c>
      <c r="C244" t="s">
        <v>13</v>
      </c>
      <c r="D244">
        <v>7505</v>
      </c>
      <c r="E244">
        <v>29.93</v>
      </c>
      <c r="F244">
        <v>317.84</v>
      </c>
    </row>
    <row r="245" customFormat="1" spans="1:6">
      <c r="A245">
        <v>2022</v>
      </c>
      <c r="B245" t="s">
        <v>25</v>
      </c>
      <c r="C245" t="s">
        <v>14</v>
      </c>
      <c r="D245">
        <v>7506</v>
      </c>
      <c r="E245">
        <v>29.05</v>
      </c>
      <c r="F245">
        <v>318.12</v>
      </c>
    </row>
    <row r="246" customFormat="1" spans="1:6">
      <c r="A246">
        <v>2022</v>
      </c>
      <c r="B246" t="s">
        <v>25</v>
      </c>
      <c r="C246" t="s">
        <v>15</v>
      </c>
      <c r="D246">
        <v>7507</v>
      </c>
      <c r="E246">
        <v>43.25</v>
      </c>
      <c r="F246">
        <v>245.08</v>
      </c>
    </row>
    <row r="247" customFormat="1" spans="1:6">
      <c r="A247">
        <v>2022</v>
      </c>
      <c r="B247" t="s">
        <v>25</v>
      </c>
      <c r="C247" t="s">
        <v>16</v>
      </c>
      <c r="D247">
        <v>7508</v>
      </c>
      <c r="E247">
        <v>22.31</v>
      </c>
      <c r="F247">
        <v>369.48</v>
      </c>
    </row>
    <row r="248" customFormat="1" spans="1:6">
      <c r="A248">
        <v>2022</v>
      </c>
      <c r="B248" t="s">
        <v>25</v>
      </c>
      <c r="C248" t="s">
        <v>17</v>
      </c>
      <c r="D248">
        <v>7509</v>
      </c>
      <c r="E248">
        <v>42.66</v>
      </c>
      <c r="F248">
        <v>133.87</v>
      </c>
    </row>
    <row r="249" customFormat="1" spans="1:6">
      <c r="A249">
        <v>2022</v>
      </c>
      <c r="B249" t="s">
        <v>25</v>
      </c>
      <c r="C249" t="s">
        <v>8</v>
      </c>
      <c r="D249">
        <v>7510</v>
      </c>
      <c r="E249">
        <v>48.72</v>
      </c>
      <c r="F249">
        <v>270.95</v>
      </c>
    </row>
    <row r="250" customFormat="1" spans="1:6">
      <c r="A250">
        <v>2022</v>
      </c>
      <c r="B250" t="s">
        <v>25</v>
      </c>
      <c r="C250" t="s">
        <v>9</v>
      </c>
      <c r="D250">
        <v>7511</v>
      </c>
      <c r="E250">
        <v>13.54</v>
      </c>
      <c r="F250">
        <v>329.15</v>
      </c>
    </row>
    <row r="251" customFormat="1" spans="1:6">
      <c r="A251">
        <v>2022</v>
      </c>
      <c r="B251" t="s">
        <v>25</v>
      </c>
      <c r="C251" t="s">
        <v>10</v>
      </c>
      <c r="D251">
        <v>7512</v>
      </c>
      <c r="E251">
        <v>41.67</v>
      </c>
      <c r="F251">
        <v>288.56</v>
      </c>
    </row>
    <row r="252" customFormat="1" spans="1:6">
      <c r="A252">
        <v>2022</v>
      </c>
      <c r="B252" t="s">
        <v>25</v>
      </c>
      <c r="C252" t="s">
        <v>11</v>
      </c>
      <c r="D252">
        <v>7513</v>
      </c>
      <c r="E252">
        <v>33.6</v>
      </c>
      <c r="F252">
        <v>464.84</v>
      </c>
    </row>
    <row r="253" customFormat="1" spans="1:6">
      <c r="A253">
        <v>2022</v>
      </c>
      <c r="B253" t="s">
        <v>25</v>
      </c>
      <c r="C253" t="s">
        <v>12</v>
      </c>
      <c r="D253">
        <v>7514</v>
      </c>
      <c r="E253">
        <v>29.2</v>
      </c>
      <c r="F253">
        <v>247.66</v>
      </c>
    </row>
    <row r="254" customFormat="1" spans="1:6">
      <c r="A254">
        <v>2022</v>
      </c>
      <c r="B254" t="s">
        <v>25</v>
      </c>
      <c r="C254" t="s">
        <v>13</v>
      </c>
      <c r="D254">
        <v>7515</v>
      </c>
      <c r="E254">
        <v>26.82</v>
      </c>
      <c r="F254">
        <v>117.7</v>
      </c>
    </row>
    <row r="255" customFormat="1" spans="1:6">
      <c r="A255">
        <v>2022</v>
      </c>
      <c r="B255" t="s">
        <v>25</v>
      </c>
      <c r="C255" t="s">
        <v>14</v>
      </c>
      <c r="D255">
        <v>7516</v>
      </c>
      <c r="E255">
        <v>41.39</v>
      </c>
      <c r="F255">
        <v>393.99</v>
      </c>
    </row>
    <row r="256" customFormat="1" spans="1:6">
      <c r="A256">
        <v>2022</v>
      </c>
      <c r="B256" t="s">
        <v>25</v>
      </c>
      <c r="C256" t="s">
        <v>15</v>
      </c>
      <c r="D256">
        <v>7517</v>
      </c>
      <c r="E256">
        <v>35.57</v>
      </c>
      <c r="F256">
        <v>119.58</v>
      </c>
    </row>
    <row r="257" customFormat="1" spans="1:6">
      <c r="A257">
        <v>2022</v>
      </c>
      <c r="B257" t="s">
        <v>25</v>
      </c>
      <c r="C257" t="s">
        <v>16</v>
      </c>
      <c r="D257">
        <v>7518</v>
      </c>
      <c r="E257">
        <v>42.2</v>
      </c>
      <c r="F257">
        <v>227.11</v>
      </c>
    </row>
    <row r="258" customFormat="1" spans="1:6">
      <c r="A258">
        <v>2022</v>
      </c>
      <c r="B258" t="s">
        <v>25</v>
      </c>
      <c r="C258" t="s">
        <v>17</v>
      </c>
      <c r="D258">
        <v>7519</v>
      </c>
      <c r="E258">
        <v>46.13</v>
      </c>
      <c r="F258">
        <v>447.96</v>
      </c>
    </row>
    <row r="259" customFormat="1" spans="1:6">
      <c r="A259">
        <v>2022</v>
      </c>
      <c r="B259" t="s">
        <v>25</v>
      </c>
      <c r="C259" t="s">
        <v>8</v>
      </c>
      <c r="D259">
        <v>7520</v>
      </c>
      <c r="E259">
        <v>34.69</v>
      </c>
      <c r="F259">
        <v>358.79</v>
      </c>
    </row>
    <row r="260" customFormat="1" spans="1:6">
      <c r="A260">
        <v>2022</v>
      </c>
      <c r="B260" t="s">
        <v>25</v>
      </c>
      <c r="C260" t="s">
        <v>9</v>
      </c>
      <c r="D260">
        <v>7521</v>
      </c>
      <c r="E260">
        <v>49.22</v>
      </c>
      <c r="F260">
        <v>203.03</v>
      </c>
    </row>
    <row r="261" customFormat="1" spans="1:6">
      <c r="A261">
        <v>2022</v>
      </c>
      <c r="B261" t="s">
        <v>25</v>
      </c>
      <c r="C261" t="s">
        <v>10</v>
      </c>
      <c r="D261">
        <v>7522</v>
      </c>
      <c r="E261">
        <v>34.32</v>
      </c>
      <c r="F261">
        <v>77.55</v>
      </c>
    </row>
    <row r="262" customFormat="1" spans="1:6">
      <c r="A262">
        <v>2022</v>
      </c>
      <c r="B262" t="s">
        <v>25</v>
      </c>
      <c r="C262" t="s">
        <v>11</v>
      </c>
      <c r="D262">
        <v>7523</v>
      </c>
      <c r="E262">
        <v>35.47</v>
      </c>
      <c r="F262">
        <v>281.11</v>
      </c>
    </row>
    <row r="263" customFormat="1" spans="1:6">
      <c r="A263">
        <v>2022</v>
      </c>
      <c r="B263" t="s">
        <v>25</v>
      </c>
      <c r="C263" t="s">
        <v>12</v>
      </c>
      <c r="D263">
        <v>7524</v>
      </c>
      <c r="E263">
        <v>32.19</v>
      </c>
      <c r="F263">
        <v>370.08</v>
      </c>
    </row>
    <row r="264" customFormat="1" spans="1:6">
      <c r="A264">
        <v>2022</v>
      </c>
      <c r="B264" t="s">
        <v>25</v>
      </c>
      <c r="C264" t="s">
        <v>13</v>
      </c>
      <c r="D264">
        <v>7525</v>
      </c>
      <c r="E264">
        <v>13.64</v>
      </c>
      <c r="F264">
        <v>356.61</v>
      </c>
    </row>
    <row r="265" customFormat="1" spans="1:6">
      <c r="A265">
        <v>2022</v>
      </c>
      <c r="B265" t="s">
        <v>25</v>
      </c>
      <c r="C265" t="s">
        <v>14</v>
      </c>
      <c r="D265">
        <v>7526</v>
      </c>
      <c r="E265">
        <v>39.06</v>
      </c>
      <c r="F265">
        <v>432.01</v>
      </c>
    </row>
    <row r="266" customFormat="1" spans="1:6">
      <c r="A266">
        <v>2022</v>
      </c>
      <c r="B266" t="s">
        <v>25</v>
      </c>
      <c r="C266" t="s">
        <v>15</v>
      </c>
      <c r="D266">
        <v>7527</v>
      </c>
      <c r="E266">
        <v>31.9</v>
      </c>
      <c r="F266">
        <v>410.26</v>
      </c>
    </row>
    <row r="267" customFormat="1" spans="1:6">
      <c r="A267">
        <v>2022</v>
      </c>
      <c r="B267" t="s">
        <v>25</v>
      </c>
      <c r="C267" t="s">
        <v>16</v>
      </c>
      <c r="D267">
        <v>7528</v>
      </c>
      <c r="E267">
        <v>28.04</v>
      </c>
      <c r="F267">
        <v>313.82</v>
      </c>
    </row>
    <row r="268" customFormat="1" spans="1:6">
      <c r="A268">
        <v>2022</v>
      </c>
      <c r="B268" t="s">
        <v>25</v>
      </c>
      <c r="C268" t="s">
        <v>17</v>
      </c>
      <c r="D268">
        <v>7529</v>
      </c>
      <c r="E268">
        <v>46.42</v>
      </c>
      <c r="F268">
        <v>460.27</v>
      </c>
    </row>
    <row r="269" customFormat="1" spans="1:6">
      <c r="A269">
        <v>2022</v>
      </c>
      <c r="B269" t="s">
        <v>25</v>
      </c>
      <c r="C269" t="s">
        <v>8</v>
      </c>
      <c r="D269">
        <v>7530</v>
      </c>
      <c r="E269">
        <v>21.92</v>
      </c>
      <c r="F269">
        <v>468.16</v>
      </c>
    </row>
    <row r="270" customFormat="1" spans="1:6">
      <c r="A270">
        <v>2022</v>
      </c>
      <c r="B270" t="s">
        <v>25</v>
      </c>
      <c r="C270" t="s">
        <v>9</v>
      </c>
      <c r="D270">
        <v>7531</v>
      </c>
      <c r="E270">
        <v>30.94</v>
      </c>
      <c r="F270">
        <v>428.3</v>
      </c>
    </row>
    <row r="271" customFormat="1" spans="1:6">
      <c r="A271">
        <v>2022</v>
      </c>
      <c r="B271" t="s">
        <v>25</v>
      </c>
      <c r="C271" t="s">
        <v>10</v>
      </c>
      <c r="D271">
        <v>7532</v>
      </c>
      <c r="E271">
        <v>37.91</v>
      </c>
      <c r="F271">
        <v>158.61</v>
      </c>
    </row>
    <row r="272" customFormat="1" spans="1:6">
      <c r="A272">
        <v>2022</v>
      </c>
      <c r="B272" t="s">
        <v>26</v>
      </c>
      <c r="C272" t="s">
        <v>11</v>
      </c>
      <c r="D272">
        <v>7533</v>
      </c>
      <c r="E272">
        <v>41.86</v>
      </c>
      <c r="F272">
        <v>90.04</v>
      </c>
    </row>
    <row r="273" customFormat="1" spans="1:6">
      <c r="A273">
        <v>2022</v>
      </c>
      <c r="B273" t="s">
        <v>26</v>
      </c>
      <c r="C273" t="s">
        <v>12</v>
      </c>
      <c r="D273">
        <v>7534</v>
      </c>
      <c r="E273">
        <v>28.37</v>
      </c>
      <c r="F273">
        <v>251.43</v>
      </c>
    </row>
    <row r="274" customFormat="1" spans="1:6">
      <c r="A274">
        <v>2022</v>
      </c>
      <c r="B274" t="s">
        <v>26</v>
      </c>
      <c r="C274" t="s">
        <v>13</v>
      </c>
      <c r="D274">
        <v>7535</v>
      </c>
      <c r="E274">
        <v>43.68</v>
      </c>
      <c r="F274">
        <v>120.78</v>
      </c>
    </row>
    <row r="275" customFormat="1" spans="1:6">
      <c r="A275">
        <v>2022</v>
      </c>
      <c r="B275" t="s">
        <v>26</v>
      </c>
      <c r="C275" t="s">
        <v>14</v>
      </c>
      <c r="D275">
        <v>7536</v>
      </c>
      <c r="E275">
        <v>40.76</v>
      </c>
      <c r="F275">
        <v>150.07</v>
      </c>
    </row>
    <row r="276" customFormat="1" spans="1:6">
      <c r="A276">
        <v>2022</v>
      </c>
      <c r="B276" t="s">
        <v>26</v>
      </c>
      <c r="C276" t="s">
        <v>15</v>
      </c>
      <c r="D276">
        <v>7537</v>
      </c>
      <c r="E276">
        <v>12.65</v>
      </c>
      <c r="F276">
        <v>256.72</v>
      </c>
    </row>
    <row r="277" customFormat="1" spans="1:6">
      <c r="A277">
        <v>2022</v>
      </c>
      <c r="B277" t="s">
        <v>26</v>
      </c>
      <c r="C277" t="s">
        <v>16</v>
      </c>
      <c r="D277">
        <v>7538</v>
      </c>
      <c r="E277">
        <v>11.83</v>
      </c>
      <c r="F277">
        <v>126.54</v>
      </c>
    </row>
    <row r="278" customFormat="1" spans="1:6">
      <c r="A278">
        <v>2022</v>
      </c>
      <c r="B278" t="s">
        <v>26</v>
      </c>
      <c r="C278" t="s">
        <v>17</v>
      </c>
      <c r="D278">
        <v>7539</v>
      </c>
      <c r="E278">
        <v>34.83</v>
      </c>
      <c r="F278">
        <v>102.28</v>
      </c>
    </row>
    <row r="279" customFormat="1" spans="1:6">
      <c r="A279">
        <v>2022</v>
      </c>
      <c r="B279" t="s">
        <v>26</v>
      </c>
      <c r="C279" t="s">
        <v>8</v>
      </c>
      <c r="D279">
        <v>7540</v>
      </c>
      <c r="E279">
        <v>23.9</v>
      </c>
      <c r="F279">
        <v>246.58</v>
      </c>
    </row>
    <row r="280" customFormat="1" spans="1:6">
      <c r="A280">
        <v>2022</v>
      </c>
      <c r="B280" t="s">
        <v>26</v>
      </c>
      <c r="C280" t="s">
        <v>9</v>
      </c>
      <c r="D280">
        <v>7541</v>
      </c>
      <c r="E280">
        <v>18.37</v>
      </c>
      <c r="F280">
        <v>140.27</v>
      </c>
    </row>
    <row r="281" customFormat="1" spans="1:6">
      <c r="A281">
        <v>2022</v>
      </c>
      <c r="B281" t="s">
        <v>26</v>
      </c>
      <c r="C281" t="s">
        <v>10</v>
      </c>
      <c r="D281">
        <v>7542</v>
      </c>
      <c r="E281">
        <v>33.19</v>
      </c>
      <c r="F281">
        <v>341.67</v>
      </c>
    </row>
    <row r="282" customFormat="1" spans="1:6">
      <c r="A282">
        <v>2022</v>
      </c>
      <c r="B282" t="s">
        <v>26</v>
      </c>
      <c r="C282" t="s">
        <v>11</v>
      </c>
      <c r="D282">
        <v>7543</v>
      </c>
      <c r="E282">
        <v>23.66</v>
      </c>
      <c r="F282">
        <v>101.68</v>
      </c>
    </row>
    <row r="283" customFormat="1" spans="1:6">
      <c r="A283">
        <v>2022</v>
      </c>
      <c r="B283" t="s">
        <v>26</v>
      </c>
      <c r="C283" t="s">
        <v>12</v>
      </c>
      <c r="D283">
        <v>7544</v>
      </c>
      <c r="E283">
        <v>31.49</v>
      </c>
      <c r="F283">
        <v>114.11</v>
      </c>
    </row>
    <row r="284" customFormat="1" spans="1:6">
      <c r="A284">
        <v>2022</v>
      </c>
      <c r="B284" t="s">
        <v>26</v>
      </c>
      <c r="C284" t="s">
        <v>13</v>
      </c>
      <c r="D284">
        <v>7545</v>
      </c>
      <c r="E284">
        <v>28.4</v>
      </c>
      <c r="F284">
        <v>207.01</v>
      </c>
    </row>
    <row r="285" customFormat="1" spans="1:6">
      <c r="A285">
        <v>2022</v>
      </c>
      <c r="B285" t="s">
        <v>26</v>
      </c>
      <c r="C285" t="s">
        <v>14</v>
      </c>
      <c r="D285">
        <v>7546</v>
      </c>
      <c r="E285">
        <v>33.39</v>
      </c>
      <c r="F285">
        <v>367.1</v>
      </c>
    </row>
    <row r="286" customFormat="1" spans="1:6">
      <c r="A286">
        <v>2022</v>
      </c>
      <c r="B286" t="s">
        <v>26</v>
      </c>
      <c r="C286" t="s">
        <v>15</v>
      </c>
      <c r="D286">
        <v>7547</v>
      </c>
      <c r="E286">
        <v>26.01</v>
      </c>
      <c r="F286">
        <v>117.3</v>
      </c>
    </row>
    <row r="287" customFormat="1" spans="1:6">
      <c r="A287">
        <v>2022</v>
      </c>
      <c r="B287" t="s">
        <v>26</v>
      </c>
      <c r="C287" t="s">
        <v>16</v>
      </c>
      <c r="D287">
        <v>7548</v>
      </c>
      <c r="E287">
        <v>37.91</v>
      </c>
      <c r="F287">
        <v>181.81</v>
      </c>
    </row>
    <row r="288" customFormat="1" spans="1:6">
      <c r="A288">
        <v>2022</v>
      </c>
      <c r="B288" t="s">
        <v>26</v>
      </c>
      <c r="C288" t="s">
        <v>17</v>
      </c>
      <c r="D288">
        <v>7549</v>
      </c>
      <c r="E288">
        <v>17.2</v>
      </c>
      <c r="F288">
        <v>243.47</v>
      </c>
    </row>
    <row r="289" customFormat="1" spans="1:6">
      <c r="A289">
        <v>2022</v>
      </c>
      <c r="B289" t="s">
        <v>26</v>
      </c>
      <c r="C289" t="s">
        <v>8</v>
      </c>
      <c r="D289">
        <v>7550</v>
      </c>
      <c r="E289">
        <v>37.86</v>
      </c>
      <c r="F289">
        <v>477.67</v>
      </c>
    </row>
    <row r="290" customFormat="1" spans="1:6">
      <c r="A290">
        <v>2022</v>
      </c>
      <c r="B290" t="s">
        <v>26</v>
      </c>
      <c r="C290" t="s">
        <v>9</v>
      </c>
      <c r="D290">
        <v>7551</v>
      </c>
      <c r="E290">
        <v>26.47</v>
      </c>
      <c r="F290">
        <v>147.29</v>
      </c>
    </row>
    <row r="291" customFormat="1" spans="1:6">
      <c r="A291">
        <v>2022</v>
      </c>
      <c r="B291" t="s">
        <v>26</v>
      </c>
      <c r="C291" t="s">
        <v>10</v>
      </c>
      <c r="D291">
        <v>7552</v>
      </c>
      <c r="E291">
        <v>44.97</v>
      </c>
      <c r="F291">
        <v>334.88</v>
      </c>
    </row>
    <row r="292" customFormat="1" spans="1:6">
      <c r="A292">
        <v>2022</v>
      </c>
      <c r="B292" t="s">
        <v>26</v>
      </c>
      <c r="C292" t="s">
        <v>11</v>
      </c>
      <c r="D292">
        <v>7553</v>
      </c>
      <c r="E292">
        <v>30.61</v>
      </c>
      <c r="F292">
        <v>395.64</v>
      </c>
    </row>
    <row r="293" customFormat="1" spans="1:6">
      <c r="A293">
        <v>2022</v>
      </c>
      <c r="B293" t="s">
        <v>26</v>
      </c>
      <c r="C293" t="s">
        <v>12</v>
      </c>
      <c r="D293">
        <v>7554</v>
      </c>
      <c r="E293">
        <v>48.92</v>
      </c>
      <c r="F293">
        <v>96.88</v>
      </c>
    </row>
    <row r="294" customFormat="1" spans="1:6">
      <c r="A294">
        <v>2022</v>
      </c>
      <c r="B294" t="s">
        <v>26</v>
      </c>
      <c r="C294" t="s">
        <v>13</v>
      </c>
      <c r="D294">
        <v>7555</v>
      </c>
      <c r="E294">
        <v>34.08</v>
      </c>
      <c r="F294">
        <v>324.02</v>
      </c>
    </row>
    <row r="295" customFormat="1" spans="1:6">
      <c r="A295">
        <v>2022</v>
      </c>
      <c r="B295" t="s">
        <v>26</v>
      </c>
      <c r="C295" t="s">
        <v>14</v>
      </c>
      <c r="D295">
        <v>7556</v>
      </c>
      <c r="E295">
        <v>18.95</v>
      </c>
      <c r="F295">
        <v>199.14</v>
      </c>
    </row>
    <row r="296" customFormat="1" spans="1:6">
      <c r="A296">
        <v>2022</v>
      </c>
      <c r="B296" t="s">
        <v>26</v>
      </c>
      <c r="C296" t="s">
        <v>15</v>
      </c>
      <c r="D296">
        <v>7557</v>
      </c>
      <c r="E296">
        <v>42.87</v>
      </c>
      <c r="F296">
        <v>130.95</v>
      </c>
    </row>
    <row r="297" customFormat="1" spans="1:6">
      <c r="A297">
        <v>2022</v>
      </c>
      <c r="B297" t="s">
        <v>26</v>
      </c>
      <c r="C297" t="s">
        <v>16</v>
      </c>
      <c r="D297">
        <v>7558</v>
      </c>
      <c r="E297">
        <v>23.8</v>
      </c>
      <c r="F297">
        <v>291.54</v>
      </c>
    </row>
    <row r="298" customFormat="1" spans="1:6">
      <c r="A298">
        <v>2022</v>
      </c>
      <c r="B298" t="s">
        <v>26</v>
      </c>
      <c r="C298" t="s">
        <v>17</v>
      </c>
      <c r="D298">
        <v>7559</v>
      </c>
      <c r="E298">
        <v>23.9</v>
      </c>
      <c r="F298">
        <v>470.01</v>
      </c>
    </row>
    <row r="299" customFormat="1" spans="1:6">
      <c r="A299">
        <v>2022</v>
      </c>
      <c r="B299" t="s">
        <v>26</v>
      </c>
      <c r="C299" t="s">
        <v>8</v>
      </c>
      <c r="D299">
        <v>7560</v>
      </c>
      <c r="E299">
        <v>11.27</v>
      </c>
      <c r="F299">
        <v>305.22</v>
      </c>
    </row>
    <row r="300" customFormat="1" spans="1:6">
      <c r="A300">
        <v>2022</v>
      </c>
      <c r="B300" t="s">
        <v>26</v>
      </c>
      <c r="C300" t="s">
        <v>9</v>
      </c>
      <c r="D300">
        <v>7561</v>
      </c>
      <c r="E300">
        <v>31.95</v>
      </c>
      <c r="F300">
        <v>105.72</v>
      </c>
    </row>
    <row r="301" customFormat="1" spans="1:6">
      <c r="A301">
        <v>2022</v>
      </c>
      <c r="B301" t="s">
        <v>26</v>
      </c>
      <c r="C301" t="s">
        <v>10</v>
      </c>
      <c r="D301">
        <v>7562</v>
      </c>
      <c r="E301">
        <v>31.38</v>
      </c>
      <c r="F301">
        <v>233.18</v>
      </c>
    </row>
    <row r="302" customFormat="1" spans="1:6">
      <c r="A302">
        <v>2022</v>
      </c>
      <c r="B302" t="s">
        <v>26</v>
      </c>
      <c r="C302" t="s">
        <v>11</v>
      </c>
      <c r="D302">
        <v>7563</v>
      </c>
      <c r="E302">
        <v>24.24</v>
      </c>
      <c r="F302">
        <v>460.21</v>
      </c>
    </row>
    <row r="303" customFormat="1" spans="1:6">
      <c r="A303">
        <v>2022</v>
      </c>
      <c r="B303" t="s">
        <v>27</v>
      </c>
      <c r="C303" t="s">
        <v>12</v>
      </c>
      <c r="D303">
        <v>7564</v>
      </c>
      <c r="E303">
        <v>45.77</v>
      </c>
      <c r="F303">
        <v>2.19</v>
      </c>
    </row>
    <row r="304" customFormat="1" spans="1:6">
      <c r="A304">
        <v>2022</v>
      </c>
      <c r="B304" t="s">
        <v>27</v>
      </c>
      <c r="C304" t="s">
        <v>13</v>
      </c>
      <c r="D304">
        <v>7565</v>
      </c>
      <c r="E304">
        <v>15.15</v>
      </c>
      <c r="F304">
        <v>178.23</v>
      </c>
    </row>
    <row r="305" customFormat="1" spans="1:6">
      <c r="A305">
        <v>2022</v>
      </c>
      <c r="B305" t="s">
        <v>27</v>
      </c>
      <c r="C305" t="s">
        <v>14</v>
      </c>
      <c r="D305">
        <v>7566</v>
      </c>
      <c r="E305">
        <v>23.2</v>
      </c>
      <c r="F305">
        <v>140.24</v>
      </c>
    </row>
    <row r="306" customFormat="1" spans="1:6">
      <c r="A306">
        <v>2022</v>
      </c>
      <c r="B306" t="s">
        <v>27</v>
      </c>
      <c r="C306" t="s">
        <v>15</v>
      </c>
      <c r="D306">
        <v>7567</v>
      </c>
      <c r="E306">
        <v>22.86</v>
      </c>
      <c r="F306">
        <v>439.27</v>
      </c>
    </row>
    <row r="307" customFormat="1" spans="1:6">
      <c r="A307">
        <v>2022</v>
      </c>
      <c r="B307" t="s">
        <v>27</v>
      </c>
      <c r="C307" t="s">
        <v>16</v>
      </c>
      <c r="D307">
        <v>7568</v>
      </c>
      <c r="E307">
        <v>13.69</v>
      </c>
      <c r="F307">
        <v>465.08</v>
      </c>
    </row>
    <row r="308" customFormat="1" spans="1:6">
      <c r="A308">
        <v>2022</v>
      </c>
      <c r="B308" t="s">
        <v>27</v>
      </c>
      <c r="C308" t="s">
        <v>17</v>
      </c>
      <c r="D308">
        <v>7569</v>
      </c>
      <c r="E308">
        <v>29.25</v>
      </c>
      <c r="F308">
        <v>459.83</v>
      </c>
    </row>
    <row r="309" customFormat="1" spans="1:6">
      <c r="A309">
        <v>2022</v>
      </c>
      <c r="B309" t="s">
        <v>27</v>
      </c>
      <c r="C309" t="s">
        <v>8</v>
      </c>
      <c r="D309">
        <v>7570</v>
      </c>
      <c r="E309">
        <v>37.51</v>
      </c>
      <c r="F309">
        <v>439.89</v>
      </c>
    </row>
    <row r="310" customFormat="1" spans="1:6">
      <c r="A310">
        <v>2022</v>
      </c>
      <c r="B310" t="s">
        <v>27</v>
      </c>
      <c r="C310" t="s">
        <v>9</v>
      </c>
      <c r="D310">
        <v>7571</v>
      </c>
      <c r="E310">
        <v>30.47</v>
      </c>
      <c r="F310">
        <v>359.96</v>
      </c>
    </row>
    <row r="311" customFormat="1" spans="1:6">
      <c r="A311">
        <v>2022</v>
      </c>
      <c r="B311" t="s">
        <v>27</v>
      </c>
      <c r="C311" t="s">
        <v>10</v>
      </c>
      <c r="D311">
        <v>7572</v>
      </c>
      <c r="E311">
        <v>16.28</v>
      </c>
      <c r="F311">
        <v>317.57</v>
      </c>
    </row>
    <row r="312" customFormat="1" spans="1:6">
      <c r="A312">
        <v>2022</v>
      </c>
      <c r="B312" t="s">
        <v>27</v>
      </c>
      <c r="C312" t="s">
        <v>11</v>
      </c>
      <c r="D312">
        <v>7573</v>
      </c>
      <c r="E312">
        <v>25.09</v>
      </c>
      <c r="F312">
        <v>224.78</v>
      </c>
    </row>
    <row r="313" customFormat="1" spans="1:6">
      <c r="A313">
        <v>2022</v>
      </c>
      <c r="B313" t="s">
        <v>27</v>
      </c>
      <c r="C313" t="s">
        <v>12</v>
      </c>
      <c r="D313">
        <v>7574</v>
      </c>
      <c r="E313">
        <v>10.1</v>
      </c>
      <c r="F313">
        <v>110.36</v>
      </c>
    </row>
    <row r="314" customFormat="1" spans="1:6">
      <c r="A314">
        <v>2022</v>
      </c>
      <c r="B314" t="s">
        <v>27</v>
      </c>
      <c r="C314" t="s">
        <v>13</v>
      </c>
      <c r="D314">
        <v>7575</v>
      </c>
      <c r="E314">
        <v>44.73</v>
      </c>
      <c r="F314">
        <v>365.54</v>
      </c>
    </row>
    <row r="315" customFormat="1" spans="1:6">
      <c r="A315">
        <v>2022</v>
      </c>
      <c r="B315" t="s">
        <v>27</v>
      </c>
      <c r="C315" t="s">
        <v>14</v>
      </c>
      <c r="D315">
        <v>7576</v>
      </c>
      <c r="E315">
        <v>13.38</v>
      </c>
      <c r="F315">
        <v>181.12</v>
      </c>
    </row>
    <row r="316" customFormat="1" spans="1:6">
      <c r="A316">
        <v>2022</v>
      </c>
      <c r="B316" t="s">
        <v>27</v>
      </c>
      <c r="C316" t="s">
        <v>15</v>
      </c>
      <c r="D316">
        <v>7577</v>
      </c>
      <c r="E316">
        <v>33.89</v>
      </c>
      <c r="F316">
        <v>494.73</v>
      </c>
    </row>
    <row r="317" customFormat="1" spans="1:6">
      <c r="A317">
        <v>2022</v>
      </c>
      <c r="B317" t="s">
        <v>27</v>
      </c>
      <c r="C317" t="s">
        <v>16</v>
      </c>
      <c r="D317">
        <v>7578</v>
      </c>
      <c r="E317">
        <v>49.45</v>
      </c>
      <c r="F317">
        <v>402.03</v>
      </c>
    </row>
    <row r="318" customFormat="1" spans="1:6">
      <c r="A318">
        <v>2022</v>
      </c>
      <c r="B318" t="s">
        <v>27</v>
      </c>
      <c r="C318" t="s">
        <v>17</v>
      </c>
      <c r="D318">
        <v>7579</v>
      </c>
      <c r="E318">
        <v>31.46</v>
      </c>
      <c r="F318">
        <v>340.06</v>
      </c>
    </row>
    <row r="319" customFormat="1" spans="1:6">
      <c r="A319">
        <v>2022</v>
      </c>
      <c r="B319" t="s">
        <v>28</v>
      </c>
      <c r="C319" t="s">
        <v>8</v>
      </c>
      <c r="D319">
        <v>7580</v>
      </c>
      <c r="E319">
        <v>46.96</v>
      </c>
      <c r="F319">
        <v>190.66</v>
      </c>
    </row>
    <row r="320" customFormat="1" spans="1:6">
      <c r="A320">
        <v>2022</v>
      </c>
      <c r="B320" t="s">
        <v>28</v>
      </c>
      <c r="C320" t="s">
        <v>9</v>
      </c>
      <c r="D320">
        <v>7581</v>
      </c>
      <c r="E320">
        <v>19.44</v>
      </c>
      <c r="F320">
        <v>465.16</v>
      </c>
    </row>
    <row r="321" customFormat="1" spans="1:6">
      <c r="A321">
        <v>2022</v>
      </c>
      <c r="B321" t="s">
        <v>28</v>
      </c>
      <c r="C321" t="s">
        <v>10</v>
      </c>
      <c r="D321">
        <v>7582</v>
      </c>
      <c r="E321">
        <v>40.4</v>
      </c>
      <c r="F321">
        <v>258.41</v>
      </c>
    </row>
    <row r="322" customFormat="1" spans="1:6">
      <c r="A322">
        <v>2022</v>
      </c>
      <c r="B322" t="s">
        <v>28</v>
      </c>
      <c r="C322" t="s">
        <v>11</v>
      </c>
      <c r="D322">
        <v>7583</v>
      </c>
      <c r="E322">
        <v>31.25</v>
      </c>
      <c r="F322">
        <v>192.26</v>
      </c>
    </row>
    <row r="323" customFormat="1" spans="1:6">
      <c r="A323">
        <v>2022</v>
      </c>
      <c r="B323" t="s">
        <v>28</v>
      </c>
      <c r="C323" t="s">
        <v>12</v>
      </c>
      <c r="D323">
        <v>7584</v>
      </c>
      <c r="E323">
        <v>38.82</v>
      </c>
      <c r="F323">
        <v>370.04</v>
      </c>
    </row>
    <row r="324" customFormat="1" spans="1:6">
      <c r="A324">
        <v>2022</v>
      </c>
      <c r="B324" t="s">
        <v>28</v>
      </c>
      <c r="C324" t="s">
        <v>13</v>
      </c>
      <c r="D324">
        <v>7585</v>
      </c>
      <c r="E324">
        <v>12.49</v>
      </c>
      <c r="F324">
        <v>489.64</v>
      </c>
    </row>
    <row r="325" customFormat="1" spans="1:6">
      <c r="A325">
        <v>2022</v>
      </c>
      <c r="B325" t="s">
        <v>28</v>
      </c>
      <c r="C325" t="s">
        <v>14</v>
      </c>
      <c r="D325">
        <v>7586</v>
      </c>
      <c r="E325">
        <v>15.91</v>
      </c>
      <c r="F325">
        <v>311.4</v>
      </c>
    </row>
    <row r="326" customFormat="1" spans="1:6">
      <c r="A326">
        <v>2022</v>
      </c>
      <c r="B326" t="s">
        <v>28</v>
      </c>
      <c r="C326" t="s">
        <v>15</v>
      </c>
      <c r="D326">
        <v>7587</v>
      </c>
      <c r="E326">
        <v>15.32</v>
      </c>
      <c r="F326">
        <v>340.01</v>
      </c>
    </row>
    <row r="327" customFormat="1" spans="1:6">
      <c r="A327">
        <v>2022</v>
      </c>
      <c r="B327" t="s">
        <v>28</v>
      </c>
      <c r="C327" t="s">
        <v>16</v>
      </c>
      <c r="D327">
        <v>7588</v>
      </c>
      <c r="E327">
        <v>37.49</v>
      </c>
      <c r="F327">
        <v>348.49</v>
      </c>
    </row>
    <row r="328" customFormat="1" spans="1:6">
      <c r="A328">
        <v>2022</v>
      </c>
      <c r="B328" t="s">
        <v>28</v>
      </c>
      <c r="C328" t="s">
        <v>17</v>
      </c>
      <c r="D328">
        <v>7589</v>
      </c>
      <c r="E328">
        <v>43.78</v>
      </c>
      <c r="F328">
        <v>337.42</v>
      </c>
    </row>
    <row r="329" customFormat="1" spans="1:6">
      <c r="A329">
        <v>2022</v>
      </c>
      <c r="B329" t="s">
        <v>28</v>
      </c>
      <c r="C329" t="s">
        <v>8</v>
      </c>
      <c r="D329">
        <v>7590</v>
      </c>
      <c r="E329">
        <v>39.98</v>
      </c>
      <c r="F329">
        <v>103.76</v>
      </c>
    </row>
    <row r="330" customFormat="1" spans="1:6">
      <c r="A330">
        <v>2022</v>
      </c>
      <c r="B330" t="s">
        <v>28</v>
      </c>
      <c r="C330" t="s">
        <v>9</v>
      </c>
      <c r="D330">
        <v>7591</v>
      </c>
      <c r="E330">
        <v>11.22</v>
      </c>
      <c r="F330">
        <v>308.72</v>
      </c>
    </row>
    <row r="331" customFormat="1" spans="1:6">
      <c r="A331">
        <v>2022</v>
      </c>
      <c r="B331" t="s">
        <v>28</v>
      </c>
      <c r="C331" t="s">
        <v>10</v>
      </c>
      <c r="D331">
        <v>7592</v>
      </c>
      <c r="E331">
        <v>44.69</v>
      </c>
      <c r="F331">
        <v>203</v>
      </c>
    </row>
    <row r="332" customFormat="1" spans="1:6">
      <c r="A332">
        <v>2022</v>
      </c>
      <c r="B332" t="s">
        <v>28</v>
      </c>
      <c r="C332" t="s">
        <v>11</v>
      </c>
      <c r="D332">
        <v>7593</v>
      </c>
      <c r="E332">
        <v>24.17</v>
      </c>
      <c r="F332">
        <v>112.43</v>
      </c>
    </row>
    <row r="333" customFormat="1" spans="1:6">
      <c r="A333">
        <v>2022</v>
      </c>
      <c r="B333" t="s">
        <v>28</v>
      </c>
      <c r="C333" t="s">
        <v>12</v>
      </c>
      <c r="D333">
        <v>7594</v>
      </c>
      <c r="E333">
        <v>25.89</v>
      </c>
      <c r="F333">
        <v>121.43</v>
      </c>
    </row>
    <row r="334" customFormat="1" spans="1:6">
      <c r="A334">
        <v>2022</v>
      </c>
      <c r="B334" t="s">
        <v>28</v>
      </c>
      <c r="C334" t="s">
        <v>13</v>
      </c>
      <c r="D334">
        <v>7595</v>
      </c>
      <c r="E334">
        <v>14.19</v>
      </c>
      <c r="F334">
        <v>379.95</v>
      </c>
    </row>
    <row r="335" customFormat="1" spans="1:6">
      <c r="A335">
        <v>2022</v>
      </c>
      <c r="B335" t="s">
        <v>28</v>
      </c>
      <c r="C335" t="s">
        <v>14</v>
      </c>
      <c r="D335">
        <v>7596</v>
      </c>
      <c r="E335">
        <v>39.5</v>
      </c>
      <c r="F335">
        <v>362.48</v>
      </c>
    </row>
    <row r="336" customFormat="1" spans="1:6">
      <c r="A336">
        <v>2022</v>
      </c>
      <c r="B336" t="s">
        <v>28</v>
      </c>
      <c r="C336" t="s">
        <v>15</v>
      </c>
      <c r="D336">
        <v>7597</v>
      </c>
      <c r="E336">
        <v>17.29</v>
      </c>
      <c r="F336">
        <v>470.74</v>
      </c>
    </row>
    <row r="337" customFormat="1" spans="1:6">
      <c r="A337">
        <v>2022</v>
      </c>
      <c r="B337" t="s">
        <v>28</v>
      </c>
      <c r="C337" t="s">
        <v>16</v>
      </c>
      <c r="D337">
        <v>7598</v>
      </c>
      <c r="E337">
        <v>32.56</v>
      </c>
      <c r="F337">
        <v>305.26</v>
      </c>
    </row>
    <row r="338" customFormat="1" spans="1:6">
      <c r="A338">
        <v>2022</v>
      </c>
      <c r="B338" t="s">
        <v>28</v>
      </c>
      <c r="C338" t="s">
        <v>17</v>
      </c>
      <c r="D338">
        <v>7599</v>
      </c>
      <c r="E338">
        <v>43.63</v>
      </c>
      <c r="F338">
        <v>241.35</v>
      </c>
    </row>
    <row r="339" customFormat="1" spans="1:6">
      <c r="A339">
        <v>2022</v>
      </c>
      <c r="B339" t="s">
        <v>28</v>
      </c>
      <c r="C339" t="s">
        <v>8</v>
      </c>
      <c r="D339">
        <v>7600</v>
      </c>
      <c r="E339">
        <v>13.57</v>
      </c>
      <c r="F339">
        <v>213.14</v>
      </c>
    </row>
    <row r="340" customFormat="1" spans="1:6">
      <c r="A340">
        <v>2022</v>
      </c>
      <c r="B340" t="s">
        <v>28</v>
      </c>
      <c r="C340" t="s">
        <v>9</v>
      </c>
      <c r="D340">
        <v>7601</v>
      </c>
      <c r="E340">
        <v>31.41</v>
      </c>
      <c r="F340">
        <v>237.07</v>
      </c>
    </row>
    <row r="341" customFormat="1" spans="1:6">
      <c r="A341">
        <v>2022</v>
      </c>
      <c r="B341" t="s">
        <v>28</v>
      </c>
      <c r="C341" t="s">
        <v>10</v>
      </c>
      <c r="D341">
        <v>7602</v>
      </c>
      <c r="E341">
        <v>19.33</v>
      </c>
      <c r="F341">
        <v>359.41</v>
      </c>
    </row>
    <row r="342" customFormat="1" spans="1:6">
      <c r="A342">
        <v>2022</v>
      </c>
      <c r="B342" t="s">
        <v>28</v>
      </c>
      <c r="C342" t="s">
        <v>11</v>
      </c>
      <c r="D342">
        <v>7603</v>
      </c>
      <c r="E342">
        <v>23.72</v>
      </c>
      <c r="F342">
        <v>225.18</v>
      </c>
    </row>
    <row r="343" customFormat="1" spans="1:6">
      <c r="A343">
        <v>2022</v>
      </c>
      <c r="B343" t="s">
        <v>28</v>
      </c>
      <c r="C343" t="s">
        <v>12</v>
      </c>
      <c r="D343">
        <v>7604</v>
      </c>
      <c r="E343">
        <v>28.96</v>
      </c>
      <c r="F343">
        <v>88.21</v>
      </c>
    </row>
    <row r="344" customFormat="1" spans="1:6">
      <c r="A344">
        <v>2022</v>
      </c>
      <c r="B344" t="s">
        <v>28</v>
      </c>
      <c r="C344" t="s">
        <v>13</v>
      </c>
      <c r="D344">
        <v>7605</v>
      </c>
      <c r="E344">
        <v>24.2</v>
      </c>
      <c r="F344">
        <v>325.42</v>
      </c>
    </row>
    <row r="345" customFormat="1" spans="1:6">
      <c r="A345">
        <v>2022</v>
      </c>
      <c r="B345" t="s">
        <v>28</v>
      </c>
      <c r="C345" t="s">
        <v>14</v>
      </c>
      <c r="D345">
        <v>7606</v>
      </c>
      <c r="E345">
        <v>35.95</v>
      </c>
      <c r="F345">
        <v>334.97</v>
      </c>
    </row>
    <row r="346" customFormat="1" spans="1:6">
      <c r="A346">
        <v>2022</v>
      </c>
      <c r="B346" t="s">
        <v>28</v>
      </c>
      <c r="C346" t="s">
        <v>15</v>
      </c>
      <c r="D346">
        <v>7607</v>
      </c>
      <c r="E346">
        <v>29.18</v>
      </c>
      <c r="F346">
        <v>298.36</v>
      </c>
    </row>
    <row r="347" customFormat="1" spans="1:6">
      <c r="A347">
        <v>2022</v>
      </c>
      <c r="B347" t="s">
        <v>28</v>
      </c>
      <c r="C347" t="s">
        <v>16</v>
      </c>
      <c r="D347">
        <v>7608</v>
      </c>
      <c r="E347">
        <v>33.37</v>
      </c>
      <c r="F347">
        <v>95.44</v>
      </c>
    </row>
    <row r="348" customFormat="1" spans="1:6">
      <c r="A348">
        <v>2022</v>
      </c>
      <c r="B348" t="s">
        <v>28</v>
      </c>
      <c r="C348" t="s">
        <v>17</v>
      </c>
      <c r="D348">
        <v>7609</v>
      </c>
      <c r="E348">
        <v>39.47</v>
      </c>
      <c r="F348">
        <v>401.9</v>
      </c>
    </row>
    <row r="349" customFormat="1" spans="1:6">
      <c r="A349">
        <v>2022</v>
      </c>
      <c r="B349" t="s">
        <v>28</v>
      </c>
      <c r="C349" t="s">
        <v>8</v>
      </c>
      <c r="D349">
        <v>7610</v>
      </c>
      <c r="E349">
        <v>32.31</v>
      </c>
      <c r="F349">
        <v>278.63</v>
      </c>
    </row>
  </sheetData>
  <pageMargins left="0.75" right="0.75" top="1" bottom="1" header="0.5" footer="0.5"/>
  <headerFooter/>
  <ignoredErrors>
    <ignoredError sqref="I7:J9 I3:J3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9"/>
  <sheetViews>
    <sheetView workbookViewId="0">
      <selection activeCell="G3" sqref="G3"/>
    </sheetView>
  </sheetViews>
  <sheetFormatPr defaultColWidth="9" defaultRowHeight="14.5" outlineLevelCol="6"/>
  <cols>
    <col min="4" max="4" width="36.5454545454545" customWidth="1"/>
    <col min="5" max="5" width="18.8181818181818" customWidth="1"/>
    <col min="6" max="6" width="25.4545454545455" customWidth="1"/>
    <col min="7" max="7" width="15.1818181818182" customWidth="1"/>
  </cols>
  <sheetData>
    <row r="1" customFormat="1" spans="1:7">
      <c r="A1" t="s">
        <v>34</v>
      </c>
      <c r="D1" s="72" t="s">
        <v>39</v>
      </c>
    </row>
    <row r="3" customFormat="1" spans="1:7">
      <c r="A3" s="122" t="s">
        <v>1</v>
      </c>
      <c r="B3" s="122" t="s">
        <v>2</v>
      </c>
      <c r="C3" s="122" t="s">
        <v>3</v>
      </c>
      <c r="D3" s="122" t="s">
        <v>4</v>
      </c>
      <c r="E3" s="122" t="s">
        <v>5</v>
      </c>
      <c r="F3" s="122" t="s">
        <v>50</v>
      </c>
      <c r="G3" s="123" t="s">
        <v>51</v>
      </c>
    </row>
    <row r="4" customFormat="1" spans="1:7">
      <c r="A4">
        <v>2022</v>
      </c>
      <c r="B4" t="s">
        <v>7</v>
      </c>
      <c r="C4" t="s">
        <v>13</v>
      </c>
      <c r="D4">
        <v>7265</v>
      </c>
      <c r="E4">
        <v>11.64</v>
      </c>
      <c r="F4">
        <v>416.07</v>
      </c>
      <c r="G4">
        <f>52.43+(0.05*D4)-(1.15*E4)</f>
        <v>402.294</v>
      </c>
    </row>
    <row r="5" customFormat="1" spans="1:7">
      <c r="A5">
        <v>2022</v>
      </c>
      <c r="B5" t="s">
        <v>7</v>
      </c>
      <c r="C5" t="s">
        <v>14</v>
      </c>
      <c r="D5">
        <v>7266</v>
      </c>
      <c r="E5">
        <v>25.95</v>
      </c>
      <c r="F5">
        <v>91.93</v>
      </c>
      <c r="G5">
        <f t="shared" ref="G5:G68" si="0">52.43+(0.05*D5)-(1.15*E5)</f>
        <v>385.8875</v>
      </c>
    </row>
    <row r="6" customFormat="1" spans="1:7">
      <c r="A6">
        <v>2022</v>
      </c>
      <c r="B6" t="s">
        <v>7</v>
      </c>
      <c r="C6" t="s">
        <v>15</v>
      </c>
      <c r="D6">
        <v>7267</v>
      </c>
      <c r="E6">
        <v>27.34</v>
      </c>
      <c r="F6">
        <v>255.73</v>
      </c>
      <c r="G6">
        <f t="shared" si="0"/>
        <v>384.339</v>
      </c>
    </row>
    <row r="7" customFormat="1" spans="1:7">
      <c r="A7">
        <v>2022</v>
      </c>
      <c r="B7" t="s">
        <v>7</v>
      </c>
      <c r="C7" t="s">
        <v>16</v>
      </c>
      <c r="D7">
        <v>7268</v>
      </c>
      <c r="E7">
        <v>39.76</v>
      </c>
      <c r="F7">
        <v>341.12</v>
      </c>
      <c r="G7">
        <f t="shared" si="0"/>
        <v>370.106</v>
      </c>
    </row>
    <row r="8" customFormat="1" spans="1:7">
      <c r="A8">
        <v>2022</v>
      </c>
      <c r="B8" t="s">
        <v>7</v>
      </c>
      <c r="C8" t="s">
        <v>17</v>
      </c>
      <c r="D8">
        <v>7269</v>
      </c>
      <c r="E8">
        <v>20.03</v>
      </c>
      <c r="F8">
        <v>488.17</v>
      </c>
      <c r="G8">
        <f t="shared" si="0"/>
        <v>392.8455</v>
      </c>
    </row>
    <row r="9" customFormat="1" spans="1:7">
      <c r="A9">
        <v>2022</v>
      </c>
      <c r="B9" t="s">
        <v>7</v>
      </c>
      <c r="C9" t="s">
        <v>8</v>
      </c>
      <c r="D9">
        <v>7270</v>
      </c>
      <c r="E9">
        <v>17.37</v>
      </c>
      <c r="F9">
        <v>159.28</v>
      </c>
      <c r="G9">
        <f t="shared" si="0"/>
        <v>395.9545</v>
      </c>
    </row>
    <row r="10" customFormat="1" spans="1:7">
      <c r="A10">
        <v>2022</v>
      </c>
      <c r="B10" t="s">
        <v>7</v>
      </c>
      <c r="C10" t="s">
        <v>9</v>
      </c>
      <c r="D10">
        <v>7271</v>
      </c>
      <c r="E10">
        <v>13.23</v>
      </c>
      <c r="F10">
        <v>77.01</v>
      </c>
      <c r="G10">
        <f t="shared" si="0"/>
        <v>400.7655</v>
      </c>
    </row>
    <row r="11" customFormat="1" spans="1:7">
      <c r="A11">
        <v>2022</v>
      </c>
      <c r="B11" t="s">
        <v>7</v>
      </c>
      <c r="C11" t="s">
        <v>10</v>
      </c>
      <c r="D11">
        <v>7272</v>
      </c>
      <c r="E11">
        <v>27.13</v>
      </c>
      <c r="F11">
        <v>430.84</v>
      </c>
      <c r="G11">
        <f t="shared" si="0"/>
        <v>384.8305</v>
      </c>
    </row>
    <row r="12" customFormat="1" spans="1:7">
      <c r="A12">
        <v>2022</v>
      </c>
      <c r="B12" t="s">
        <v>7</v>
      </c>
      <c r="C12" t="s">
        <v>11</v>
      </c>
      <c r="D12">
        <v>7273</v>
      </c>
      <c r="E12">
        <v>37.54</v>
      </c>
      <c r="F12">
        <v>179.51</v>
      </c>
      <c r="G12">
        <f t="shared" si="0"/>
        <v>372.909</v>
      </c>
    </row>
    <row r="13" customFormat="1" spans="1:7">
      <c r="A13">
        <v>2022</v>
      </c>
      <c r="B13" t="s">
        <v>7</v>
      </c>
      <c r="C13" t="s">
        <v>12</v>
      </c>
      <c r="D13">
        <v>7274</v>
      </c>
      <c r="E13">
        <v>12.33</v>
      </c>
      <c r="F13">
        <v>386.66</v>
      </c>
      <c r="G13">
        <f t="shared" si="0"/>
        <v>401.9505</v>
      </c>
    </row>
    <row r="14" customFormat="1" spans="1:7">
      <c r="A14">
        <v>2022</v>
      </c>
      <c r="B14" t="s">
        <v>7</v>
      </c>
      <c r="C14" t="s">
        <v>13</v>
      </c>
      <c r="D14">
        <v>7275</v>
      </c>
      <c r="E14">
        <v>46.61</v>
      </c>
      <c r="F14">
        <v>295.13</v>
      </c>
      <c r="G14">
        <f t="shared" si="0"/>
        <v>362.5785</v>
      </c>
    </row>
    <row r="15" customFormat="1" spans="1:7">
      <c r="A15">
        <v>2022</v>
      </c>
      <c r="B15" t="s">
        <v>7</v>
      </c>
      <c r="C15" t="s">
        <v>14</v>
      </c>
      <c r="D15">
        <v>7276</v>
      </c>
      <c r="E15">
        <v>27.69</v>
      </c>
      <c r="F15">
        <v>399.09</v>
      </c>
      <c r="G15">
        <f t="shared" si="0"/>
        <v>384.3865</v>
      </c>
    </row>
    <row r="16" customFormat="1" spans="1:7">
      <c r="A16">
        <v>2022</v>
      </c>
      <c r="B16" t="s">
        <v>7</v>
      </c>
      <c r="C16" t="s">
        <v>15</v>
      </c>
      <c r="D16">
        <v>7277</v>
      </c>
      <c r="E16">
        <v>19.59</v>
      </c>
      <c r="F16">
        <v>152.33</v>
      </c>
      <c r="G16">
        <f t="shared" si="0"/>
        <v>393.7515</v>
      </c>
    </row>
    <row r="17" customFormat="1" spans="1:7">
      <c r="A17">
        <v>2022</v>
      </c>
      <c r="B17" t="s">
        <v>7</v>
      </c>
      <c r="C17" t="s">
        <v>16</v>
      </c>
      <c r="D17">
        <v>7278</v>
      </c>
      <c r="E17">
        <v>13.75</v>
      </c>
      <c r="F17">
        <v>276.32</v>
      </c>
      <c r="G17">
        <f t="shared" si="0"/>
        <v>400.5175</v>
      </c>
    </row>
    <row r="18" customFormat="1" spans="1:7">
      <c r="A18">
        <v>2022</v>
      </c>
      <c r="B18" t="s">
        <v>7</v>
      </c>
      <c r="C18" t="s">
        <v>17</v>
      </c>
      <c r="D18">
        <v>7279</v>
      </c>
      <c r="E18">
        <v>17.31</v>
      </c>
      <c r="F18">
        <v>300.81</v>
      </c>
      <c r="G18">
        <f t="shared" si="0"/>
        <v>396.4735</v>
      </c>
    </row>
    <row r="19" customFormat="1" spans="1:7">
      <c r="A19">
        <v>2022</v>
      </c>
      <c r="B19" t="s">
        <v>7</v>
      </c>
      <c r="C19" t="s">
        <v>8</v>
      </c>
      <c r="D19">
        <v>7280</v>
      </c>
      <c r="E19">
        <v>47.38</v>
      </c>
      <c r="F19">
        <v>354.32</v>
      </c>
      <c r="G19">
        <f t="shared" si="0"/>
        <v>361.943</v>
      </c>
    </row>
    <row r="20" customFormat="1" spans="1:7">
      <c r="A20">
        <v>2022</v>
      </c>
      <c r="B20" t="s">
        <v>7</v>
      </c>
      <c r="C20" t="s">
        <v>9</v>
      </c>
      <c r="D20">
        <v>7281</v>
      </c>
      <c r="E20">
        <v>35.53</v>
      </c>
      <c r="F20">
        <v>500.55</v>
      </c>
      <c r="G20">
        <f t="shared" si="0"/>
        <v>375.6205</v>
      </c>
    </row>
    <row r="21" customFormat="1" spans="1:7">
      <c r="A21">
        <v>2022</v>
      </c>
      <c r="B21" t="s">
        <v>7</v>
      </c>
      <c r="C21" t="s">
        <v>10</v>
      </c>
      <c r="D21">
        <v>7282</v>
      </c>
      <c r="E21">
        <v>30.67</v>
      </c>
      <c r="F21">
        <v>203.91</v>
      </c>
      <c r="G21">
        <f t="shared" si="0"/>
        <v>381.2595</v>
      </c>
    </row>
    <row r="22" customFormat="1" spans="1:7">
      <c r="A22">
        <v>2022</v>
      </c>
      <c r="B22" t="s">
        <v>7</v>
      </c>
      <c r="C22" t="s">
        <v>11</v>
      </c>
      <c r="D22">
        <v>7283</v>
      </c>
      <c r="E22">
        <v>36.28</v>
      </c>
      <c r="F22">
        <v>432.61</v>
      </c>
      <c r="G22">
        <f t="shared" si="0"/>
        <v>374.858</v>
      </c>
    </row>
    <row r="23" customFormat="1" spans="1:7">
      <c r="A23">
        <v>2022</v>
      </c>
      <c r="B23" t="s">
        <v>7</v>
      </c>
      <c r="C23" t="s">
        <v>12</v>
      </c>
      <c r="D23">
        <v>7284</v>
      </c>
      <c r="E23">
        <v>27.43</v>
      </c>
      <c r="F23">
        <v>206.38</v>
      </c>
      <c r="G23">
        <f t="shared" si="0"/>
        <v>385.0855</v>
      </c>
    </row>
    <row r="24" customFormat="1" spans="1:7">
      <c r="A24">
        <v>2022</v>
      </c>
      <c r="B24" t="s">
        <v>7</v>
      </c>
      <c r="C24" t="s">
        <v>13</v>
      </c>
      <c r="D24">
        <v>7285</v>
      </c>
      <c r="E24">
        <v>39.2</v>
      </c>
      <c r="F24">
        <v>195.63</v>
      </c>
      <c r="G24">
        <f t="shared" si="0"/>
        <v>371.6</v>
      </c>
    </row>
    <row r="25" customFormat="1" spans="1:7">
      <c r="A25">
        <v>2022</v>
      </c>
      <c r="B25" t="s">
        <v>7</v>
      </c>
      <c r="C25" t="s">
        <v>14</v>
      </c>
      <c r="D25">
        <v>7286</v>
      </c>
      <c r="E25">
        <v>11.91</v>
      </c>
      <c r="F25">
        <v>90.89</v>
      </c>
      <c r="G25">
        <f t="shared" si="0"/>
        <v>403.0335</v>
      </c>
    </row>
    <row r="26" customFormat="1" spans="1:7">
      <c r="A26">
        <v>2022</v>
      </c>
      <c r="B26" t="s">
        <v>7</v>
      </c>
      <c r="C26" t="s">
        <v>15</v>
      </c>
      <c r="D26">
        <v>7287</v>
      </c>
      <c r="E26">
        <v>32.64</v>
      </c>
      <c r="F26">
        <v>200.3</v>
      </c>
      <c r="G26">
        <f t="shared" si="0"/>
        <v>379.244</v>
      </c>
    </row>
    <row r="27" customFormat="1" spans="1:7">
      <c r="A27">
        <v>2022</v>
      </c>
      <c r="B27" t="s">
        <v>7</v>
      </c>
      <c r="C27" t="s">
        <v>16</v>
      </c>
      <c r="D27">
        <v>7288</v>
      </c>
      <c r="E27">
        <v>16.35</v>
      </c>
      <c r="F27">
        <v>245.92</v>
      </c>
      <c r="G27">
        <f t="shared" si="0"/>
        <v>398.0275</v>
      </c>
    </row>
    <row r="28" customFormat="1" spans="1:7">
      <c r="A28">
        <v>2022</v>
      </c>
      <c r="B28" t="s">
        <v>7</v>
      </c>
      <c r="C28" t="s">
        <v>17</v>
      </c>
      <c r="D28">
        <v>7289</v>
      </c>
      <c r="E28">
        <v>14.81</v>
      </c>
      <c r="F28">
        <v>315.35</v>
      </c>
      <c r="G28">
        <f t="shared" si="0"/>
        <v>399.8485</v>
      </c>
    </row>
    <row r="29" customFormat="1" spans="1:7">
      <c r="A29">
        <v>2022</v>
      </c>
      <c r="B29" t="s">
        <v>7</v>
      </c>
      <c r="C29" t="s">
        <v>8</v>
      </c>
      <c r="D29">
        <v>7290</v>
      </c>
      <c r="E29">
        <v>23.68</v>
      </c>
      <c r="F29">
        <v>184.18</v>
      </c>
      <c r="G29">
        <f t="shared" si="0"/>
        <v>389.698</v>
      </c>
    </row>
    <row r="30" customFormat="1" spans="1:7">
      <c r="A30">
        <v>2022</v>
      </c>
      <c r="B30" t="s">
        <v>18</v>
      </c>
      <c r="C30" t="s">
        <v>9</v>
      </c>
      <c r="D30">
        <v>7291</v>
      </c>
      <c r="E30">
        <v>13.67</v>
      </c>
      <c r="F30">
        <v>436.6</v>
      </c>
      <c r="G30">
        <f t="shared" si="0"/>
        <v>401.2595</v>
      </c>
    </row>
    <row r="31" customFormat="1" spans="1:7">
      <c r="A31">
        <v>2022</v>
      </c>
      <c r="B31" t="s">
        <v>18</v>
      </c>
      <c r="C31" t="s">
        <v>10</v>
      </c>
      <c r="D31">
        <v>7292</v>
      </c>
      <c r="E31">
        <v>13.77</v>
      </c>
      <c r="F31">
        <v>131.87</v>
      </c>
      <c r="G31">
        <f t="shared" si="0"/>
        <v>401.1945</v>
      </c>
    </row>
    <row r="32" customFormat="1" spans="1:7">
      <c r="A32">
        <v>2022</v>
      </c>
      <c r="B32" t="s">
        <v>18</v>
      </c>
      <c r="C32" t="s">
        <v>11</v>
      </c>
      <c r="D32">
        <v>7293</v>
      </c>
      <c r="E32">
        <v>22.46</v>
      </c>
      <c r="F32">
        <v>106.68</v>
      </c>
      <c r="G32">
        <f t="shared" si="0"/>
        <v>391.251</v>
      </c>
    </row>
    <row r="33" customFormat="1" spans="1:7">
      <c r="A33">
        <v>2022</v>
      </c>
      <c r="B33" t="s">
        <v>18</v>
      </c>
      <c r="C33" t="s">
        <v>12</v>
      </c>
      <c r="D33">
        <v>7294</v>
      </c>
      <c r="E33">
        <v>49.18</v>
      </c>
      <c r="F33">
        <v>258.72</v>
      </c>
      <c r="G33">
        <f t="shared" si="0"/>
        <v>360.573</v>
      </c>
    </row>
    <row r="34" customFormat="1" spans="1:7">
      <c r="A34">
        <v>2022</v>
      </c>
      <c r="B34" t="s">
        <v>18</v>
      </c>
      <c r="C34" t="s">
        <v>13</v>
      </c>
      <c r="D34">
        <v>7295</v>
      </c>
      <c r="E34">
        <v>17.01</v>
      </c>
      <c r="F34">
        <v>313.76</v>
      </c>
      <c r="G34">
        <f t="shared" si="0"/>
        <v>397.6185</v>
      </c>
    </row>
    <row r="35" customFormat="1" spans="1:7">
      <c r="A35">
        <v>2022</v>
      </c>
      <c r="B35" t="s">
        <v>18</v>
      </c>
      <c r="C35" t="s">
        <v>14</v>
      </c>
      <c r="D35">
        <v>7296</v>
      </c>
      <c r="E35">
        <v>10.69</v>
      </c>
      <c r="F35">
        <v>541.61</v>
      </c>
      <c r="G35">
        <f t="shared" si="0"/>
        <v>404.9365</v>
      </c>
    </row>
    <row r="36" customFormat="1" spans="1:7">
      <c r="A36">
        <v>2022</v>
      </c>
      <c r="B36" t="s">
        <v>18</v>
      </c>
      <c r="C36" t="s">
        <v>15</v>
      </c>
      <c r="D36">
        <v>7297</v>
      </c>
      <c r="E36">
        <v>40.53</v>
      </c>
      <c r="F36">
        <v>300.76</v>
      </c>
      <c r="G36">
        <f t="shared" si="0"/>
        <v>370.6705</v>
      </c>
    </row>
    <row r="37" customFormat="1" spans="1:7">
      <c r="A37">
        <v>2022</v>
      </c>
      <c r="B37" t="s">
        <v>18</v>
      </c>
      <c r="C37" t="s">
        <v>16</v>
      </c>
      <c r="D37">
        <v>7298</v>
      </c>
      <c r="E37">
        <v>42.28</v>
      </c>
      <c r="F37">
        <v>536.67</v>
      </c>
      <c r="G37">
        <f t="shared" si="0"/>
        <v>368.708</v>
      </c>
    </row>
    <row r="38" customFormat="1" spans="1:7">
      <c r="A38">
        <v>2022</v>
      </c>
      <c r="B38" t="s">
        <v>18</v>
      </c>
      <c r="C38" t="s">
        <v>17</v>
      </c>
      <c r="D38">
        <v>7299</v>
      </c>
      <c r="E38">
        <v>23.85</v>
      </c>
      <c r="F38">
        <v>480.94</v>
      </c>
      <c r="G38">
        <f t="shared" si="0"/>
        <v>389.9525</v>
      </c>
    </row>
    <row r="39" customFormat="1" spans="1:7">
      <c r="A39">
        <v>2022</v>
      </c>
      <c r="B39" t="s">
        <v>18</v>
      </c>
      <c r="C39" t="s">
        <v>8</v>
      </c>
      <c r="D39">
        <v>7300</v>
      </c>
      <c r="E39">
        <v>28.59</v>
      </c>
      <c r="F39">
        <v>437.08</v>
      </c>
      <c r="G39">
        <f t="shared" si="0"/>
        <v>384.5515</v>
      </c>
    </row>
    <row r="40" customFormat="1" spans="1:7">
      <c r="A40">
        <v>2022</v>
      </c>
      <c r="B40" t="s">
        <v>18</v>
      </c>
      <c r="C40" t="s">
        <v>9</v>
      </c>
      <c r="D40">
        <v>7301</v>
      </c>
      <c r="E40">
        <v>35.99</v>
      </c>
      <c r="F40">
        <v>190.6</v>
      </c>
      <c r="G40">
        <f t="shared" si="0"/>
        <v>376.0915</v>
      </c>
    </row>
    <row r="41" customFormat="1" spans="1:7">
      <c r="A41">
        <v>2022</v>
      </c>
      <c r="B41" t="s">
        <v>18</v>
      </c>
      <c r="C41" t="s">
        <v>10</v>
      </c>
      <c r="D41">
        <v>7302</v>
      </c>
      <c r="E41">
        <v>11.92</v>
      </c>
      <c r="F41">
        <v>446.77</v>
      </c>
      <c r="G41">
        <f t="shared" si="0"/>
        <v>403.822</v>
      </c>
    </row>
    <row r="42" customFormat="1" spans="1:7">
      <c r="A42">
        <v>2022</v>
      </c>
      <c r="B42" t="s">
        <v>18</v>
      </c>
      <c r="C42" t="s">
        <v>11</v>
      </c>
      <c r="D42">
        <v>7303</v>
      </c>
      <c r="E42">
        <v>47.97</v>
      </c>
      <c r="F42">
        <v>367.07</v>
      </c>
      <c r="G42">
        <f t="shared" si="0"/>
        <v>362.4145</v>
      </c>
    </row>
    <row r="43" customFormat="1" spans="1:7">
      <c r="A43">
        <v>2022</v>
      </c>
      <c r="B43" t="s">
        <v>18</v>
      </c>
      <c r="C43" t="s">
        <v>12</v>
      </c>
      <c r="D43">
        <v>7304</v>
      </c>
      <c r="E43">
        <v>45.47</v>
      </c>
      <c r="F43">
        <v>333.42</v>
      </c>
      <c r="G43">
        <f t="shared" si="0"/>
        <v>365.3395</v>
      </c>
    </row>
    <row r="44" customFormat="1" spans="1:7">
      <c r="A44">
        <v>2022</v>
      </c>
      <c r="B44" t="s">
        <v>18</v>
      </c>
      <c r="C44" t="s">
        <v>13</v>
      </c>
      <c r="D44">
        <v>7305</v>
      </c>
      <c r="E44">
        <v>20.44</v>
      </c>
      <c r="F44">
        <v>427.54</v>
      </c>
      <c r="G44">
        <f t="shared" si="0"/>
        <v>394.174</v>
      </c>
    </row>
    <row r="45" customFormat="1" spans="1:7">
      <c r="A45">
        <v>2022</v>
      </c>
      <c r="B45" t="s">
        <v>18</v>
      </c>
      <c r="C45" t="s">
        <v>14</v>
      </c>
      <c r="D45">
        <v>7306</v>
      </c>
      <c r="E45">
        <v>10.61</v>
      </c>
      <c r="F45">
        <v>139.38</v>
      </c>
      <c r="G45">
        <f t="shared" si="0"/>
        <v>405.5285</v>
      </c>
    </row>
    <row r="46" customFormat="1" spans="1:7">
      <c r="A46">
        <v>2022</v>
      </c>
      <c r="B46" t="s">
        <v>18</v>
      </c>
      <c r="C46" t="s">
        <v>15</v>
      </c>
      <c r="D46">
        <v>7307</v>
      </c>
      <c r="E46">
        <v>47.34</v>
      </c>
      <c r="F46">
        <v>450.71</v>
      </c>
      <c r="G46">
        <f t="shared" si="0"/>
        <v>363.339</v>
      </c>
    </row>
    <row r="47" customFormat="1" spans="1:7">
      <c r="A47">
        <v>2022</v>
      </c>
      <c r="B47" t="s">
        <v>18</v>
      </c>
      <c r="C47" t="s">
        <v>16</v>
      </c>
      <c r="D47">
        <v>7308</v>
      </c>
      <c r="E47">
        <v>30.04</v>
      </c>
      <c r="F47">
        <v>233.14</v>
      </c>
      <c r="G47">
        <f t="shared" si="0"/>
        <v>383.284</v>
      </c>
    </row>
    <row r="48" customFormat="1" spans="1:7">
      <c r="A48">
        <v>2022</v>
      </c>
      <c r="B48" t="s">
        <v>18</v>
      </c>
      <c r="C48" t="s">
        <v>17</v>
      </c>
      <c r="D48">
        <v>7309</v>
      </c>
      <c r="E48">
        <v>31.58</v>
      </c>
      <c r="F48">
        <v>151.31</v>
      </c>
      <c r="G48">
        <f t="shared" si="0"/>
        <v>381.563</v>
      </c>
    </row>
    <row r="49" customFormat="1" spans="1:7">
      <c r="A49">
        <v>2022</v>
      </c>
      <c r="B49" t="s">
        <v>18</v>
      </c>
      <c r="C49" t="s">
        <v>8</v>
      </c>
      <c r="D49">
        <v>7310</v>
      </c>
      <c r="E49">
        <v>37.36</v>
      </c>
      <c r="F49">
        <v>267.58</v>
      </c>
      <c r="G49">
        <f t="shared" si="0"/>
        <v>374.966</v>
      </c>
    </row>
    <row r="50" customFormat="1" spans="1:7">
      <c r="A50">
        <v>2022</v>
      </c>
      <c r="B50" t="s">
        <v>18</v>
      </c>
      <c r="C50" t="s">
        <v>9</v>
      </c>
      <c r="D50">
        <v>7311</v>
      </c>
      <c r="E50">
        <v>34.63</v>
      </c>
      <c r="F50">
        <v>448.95</v>
      </c>
      <c r="G50">
        <f t="shared" si="0"/>
        <v>378.1555</v>
      </c>
    </row>
    <row r="51" customFormat="1" spans="1:7">
      <c r="A51">
        <v>2022</v>
      </c>
      <c r="B51" t="s">
        <v>18</v>
      </c>
      <c r="C51" t="s">
        <v>10</v>
      </c>
      <c r="D51">
        <v>7312</v>
      </c>
      <c r="E51">
        <v>47.76</v>
      </c>
      <c r="F51">
        <v>187.49</v>
      </c>
      <c r="G51">
        <f t="shared" si="0"/>
        <v>363.106</v>
      </c>
    </row>
    <row r="52" customFormat="1" spans="1:7">
      <c r="A52">
        <v>2022</v>
      </c>
      <c r="B52" t="s">
        <v>18</v>
      </c>
      <c r="C52" t="s">
        <v>11</v>
      </c>
      <c r="D52">
        <v>7313</v>
      </c>
      <c r="E52">
        <v>47.77</v>
      </c>
      <c r="F52">
        <v>102.9</v>
      </c>
      <c r="G52">
        <f t="shared" si="0"/>
        <v>363.1445</v>
      </c>
    </row>
    <row r="53" customFormat="1" spans="1:7">
      <c r="A53">
        <v>2022</v>
      </c>
      <c r="B53" t="s">
        <v>18</v>
      </c>
      <c r="C53" t="s">
        <v>12</v>
      </c>
      <c r="D53">
        <v>7314</v>
      </c>
      <c r="E53">
        <v>44.69</v>
      </c>
      <c r="F53">
        <v>251.59</v>
      </c>
      <c r="G53">
        <f t="shared" si="0"/>
        <v>366.7365</v>
      </c>
    </row>
    <row r="54" customFormat="1" spans="1:7">
      <c r="A54">
        <v>2022</v>
      </c>
      <c r="B54" t="s">
        <v>18</v>
      </c>
      <c r="C54" t="s">
        <v>13</v>
      </c>
      <c r="D54">
        <v>7315</v>
      </c>
      <c r="E54">
        <v>35.46</v>
      </c>
      <c r="F54">
        <v>431.08</v>
      </c>
      <c r="G54">
        <f t="shared" si="0"/>
        <v>377.401</v>
      </c>
    </row>
    <row r="55" customFormat="1" spans="1:7">
      <c r="A55">
        <v>2022</v>
      </c>
      <c r="B55" t="s">
        <v>18</v>
      </c>
      <c r="C55" t="s">
        <v>14</v>
      </c>
      <c r="D55">
        <v>7316</v>
      </c>
      <c r="E55">
        <v>42.04</v>
      </c>
      <c r="F55">
        <v>387.72</v>
      </c>
      <c r="G55">
        <f t="shared" si="0"/>
        <v>369.884</v>
      </c>
    </row>
    <row r="56" customFormat="1" spans="1:7">
      <c r="A56">
        <v>2022</v>
      </c>
      <c r="B56" t="s">
        <v>18</v>
      </c>
      <c r="C56" t="s">
        <v>15</v>
      </c>
      <c r="D56">
        <v>7317</v>
      </c>
      <c r="E56">
        <v>37.09</v>
      </c>
      <c r="F56">
        <v>351.41</v>
      </c>
      <c r="G56">
        <f t="shared" si="0"/>
        <v>375.6265</v>
      </c>
    </row>
    <row r="57" customFormat="1" spans="1:7">
      <c r="A57">
        <v>2022</v>
      </c>
      <c r="B57" t="s">
        <v>18</v>
      </c>
      <c r="C57" t="s">
        <v>16</v>
      </c>
      <c r="D57">
        <v>7318</v>
      </c>
      <c r="E57">
        <v>32.93</v>
      </c>
      <c r="F57">
        <v>102.71</v>
      </c>
      <c r="G57">
        <f t="shared" si="0"/>
        <v>380.4605</v>
      </c>
    </row>
    <row r="58" customFormat="1" spans="1:7">
      <c r="A58">
        <v>2022</v>
      </c>
      <c r="B58" t="s">
        <v>19</v>
      </c>
      <c r="C58" t="s">
        <v>17</v>
      </c>
      <c r="D58">
        <v>7319</v>
      </c>
      <c r="E58">
        <v>15.14</v>
      </c>
      <c r="F58">
        <v>313.18</v>
      </c>
      <c r="G58">
        <f t="shared" si="0"/>
        <v>400.969</v>
      </c>
    </row>
    <row r="59" customFormat="1" spans="1:7">
      <c r="A59">
        <v>2022</v>
      </c>
      <c r="B59" t="s">
        <v>19</v>
      </c>
      <c r="C59" t="s">
        <v>8</v>
      </c>
      <c r="D59">
        <v>7320</v>
      </c>
      <c r="E59">
        <v>42.45</v>
      </c>
      <c r="F59">
        <v>134.26</v>
      </c>
      <c r="G59">
        <f t="shared" si="0"/>
        <v>369.6125</v>
      </c>
    </row>
    <row r="60" customFormat="1" spans="1:7">
      <c r="A60">
        <v>2022</v>
      </c>
      <c r="B60" t="s">
        <v>19</v>
      </c>
      <c r="C60" t="s">
        <v>9</v>
      </c>
      <c r="D60">
        <v>7321</v>
      </c>
      <c r="E60">
        <v>42.83</v>
      </c>
      <c r="F60">
        <v>422.09</v>
      </c>
      <c r="G60">
        <f t="shared" si="0"/>
        <v>369.2255</v>
      </c>
    </row>
    <row r="61" customFormat="1" spans="1:7">
      <c r="A61">
        <v>2022</v>
      </c>
      <c r="B61" t="s">
        <v>19</v>
      </c>
      <c r="C61" t="s">
        <v>10</v>
      </c>
      <c r="D61">
        <v>7322</v>
      </c>
      <c r="E61">
        <v>35.04</v>
      </c>
      <c r="F61">
        <v>113.76</v>
      </c>
      <c r="G61">
        <f t="shared" si="0"/>
        <v>378.234</v>
      </c>
    </row>
    <row r="62" customFormat="1" spans="1:7">
      <c r="A62">
        <v>2022</v>
      </c>
      <c r="B62" t="s">
        <v>19</v>
      </c>
      <c r="C62" t="s">
        <v>11</v>
      </c>
      <c r="D62">
        <v>7323</v>
      </c>
      <c r="E62">
        <v>42.82</v>
      </c>
      <c r="F62">
        <v>458.18</v>
      </c>
      <c r="G62">
        <f t="shared" si="0"/>
        <v>369.337</v>
      </c>
    </row>
    <row r="63" customFormat="1" spans="1:7">
      <c r="A63">
        <v>2022</v>
      </c>
      <c r="B63" t="s">
        <v>19</v>
      </c>
      <c r="C63" t="s">
        <v>12</v>
      </c>
      <c r="D63">
        <v>7324</v>
      </c>
      <c r="E63">
        <v>36.06</v>
      </c>
      <c r="F63">
        <v>332.15</v>
      </c>
      <c r="G63">
        <f t="shared" si="0"/>
        <v>377.161</v>
      </c>
    </row>
    <row r="64" customFormat="1" spans="1:7">
      <c r="A64">
        <v>2022</v>
      </c>
      <c r="B64" t="s">
        <v>19</v>
      </c>
      <c r="C64" t="s">
        <v>13</v>
      </c>
      <c r="D64">
        <v>7325</v>
      </c>
      <c r="E64">
        <v>18.27</v>
      </c>
      <c r="F64">
        <v>502.9</v>
      </c>
      <c r="G64">
        <f t="shared" si="0"/>
        <v>397.6695</v>
      </c>
    </row>
    <row r="65" customFormat="1" spans="1:7">
      <c r="A65">
        <v>2022</v>
      </c>
      <c r="B65" t="s">
        <v>19</v>
      </c>
      <c r="C65" t="s">
        <v>14</v>
      </c>
      <c r="D65">
        <v>7326</v>
      </c>
      <c r="E65">
        <v>20.96</v>
      </c>
      <c r="F65">
        <v>380.78</v>
      </c>
      <c r="G65">
        <f t="shared" si="0"/>
        <v>394.626</v>
      </c>
    </row>
    <row r="66" customFormat="1" spans="1:7">
      <c r="A66">
        <v>2022</v>
      </c>
      <c r="B66" t="s">
        <v>19</v>
      </c>
      <c r="C66" t="s">
        <v>15</v>
      </c>
      <c r="D66">
        <v>7327</v>
      </c>
      <c r="E66">
        <v>18.58</v>
      </c>
      <c r="F66">
        <v>493.44</v>
      </c>
      <c r="G66">
        <f t="shared" si="0"/>
        <v>397.413</v>
      </c>
    </row>
    <row r="67" customFormat="1" spans="1:7">
      <c r="A67">
        <v>2022</v>
      </c>
      <c r="B67" t="s">
        <v>19</v>
      </c>
      <c r="C67" t="s">
        <v>16</v>
      </c>
      <c r="D67">
        <v>7328</v>
      </c>
      <c r="E67">
        <v>25.09</v>
      </c>
      <c r="F67">
        <v>510.08</v>
      </c>
      <c r="G67">
        <f t="shared" si="0"/>
        <v>389.9765</v>
      </c>
    </row>
    <row r="68" customFormat="1" spans="1:7">
      <c r="A68">
        <v>2022</v>
      </c>
      <c r="B68" t="s">
        <v>19</v>
      </c>
      <c r="C68" t="s">
        <v>17</v>
      </c>
      <c r="D68">
        <v>7329</v>
      </c>
      <c r="E68">
        <v>11.56</v>
      </c>
      <c r="F68">
        <v>83.24</v>
      </c>
      <c r="G68">
        <f t="shared" si="0"/>
        <v>405.586</v>
      </c>
    </row>
    <row r="69" customFormat="1" spans="1:7">
      <c r="A69">
        <v>2022</v>
      </c>
      <c r="B69" t="s">
        <v>19</v>
      </c>
      <c r="C69" t="s">
        <v>8</v>
      </c>
      <c r="D69">
        <v>7330</v>
      </c>
      <c r="E69">
        <v>34.73</v>
      </c>
      <c r="F69">
        <v>256.89</v>
      </c>
      <c r="G69">
        <f t="shared" ref="G69:G132" si="1">52.43+(0.05*D69)-(1.15*E69)</f>
        <v>378.9905</v>
      </c>
    </row>
    <row r="70" customFormat="1" spans="1:7">
      <c r="A70">
        <v>2022</v>
      </c>
      <c r="B70" t="s">
        <v>19</v>
      </c>
      <c r="C70" t="s">
        <v>9</v>
      </c>
      <c r="D70">
        <v>7331</v>
      </c>
      <c r="E70">
        <v>23.46</v>
      </c>
      <c r="F70">
        <v>343.45</v>
      </c>
      <c r="G70">
        <f t="shared" si="1"/>
        <v>392.001</v>
      </c>
    </row>
    <row r="71" customFormat="1" spans="1:7">
      <c r="A71">
        <v>2022</v>
      </c>
      <c r="B71" t="s">
        <v>19</v>
      </c>
      <c r="C71" t="s">
        <v>10</v>
      </c>
      <c r="D71">
        <v>7332</v>
      </c>
      <c r="E71">
        <v>36.23</v>
      </c>
      <c r="F71">
        <v>397.37</v>
      </c>
      <c r="G71">
        <f t="shared" si="1"/>
        <v>377.3655</v>
      </c>
    </row>
    <row r="72" customFormat="1" spans="1:7">
      <c r="A72">
        <v>2022</v>
      </c>
      <c r="B72" t="s">
        <v>19</v>
      </c>
      <c r="C72" t="s">
        <v>11</v>
      </c>
      <c r="D72">
        <v>7333</v>
      </c>
      <c r="E72">
        <v>25.42</v>
      </c>
      <c r="F72">
        <v>480.43</v>
      </c>
      <c r="G72">
        <f t="shared" si="1"/>
        <v>389.847</v>
      </c>
    </row>
    <row r="73" customFormat="1" spans="1:7">
      <c r="A73">
        <v>2022</v>
      </c>
      <c r="B73" t="s">
        <v>19</v>
      </c>
      <c r="C73" t="s">
        <v>12</v>
      </c>
      <c r="D73">
        <v>7334</v>
      </c>
      <c r="E73">
        <v>37.26</v>
      </c>
      <c r="F73">
        <v>471.84</v>
      </c>
      <c r="G73">
        <f t="shared" si="1"/>
        <v>376.281</v>
      </c>
    </row>
    <row r="74" customFormat="1" spans="1:7">
      <c r="A74">
        <v>2022</v>
      </c>
      <c r="B74" t="s">
        <v>19</v>
      </c>
      <c r="C74" t="s">
        <v>13</v>
      </c>
      <c r="D74">
        <v>7335</v>
      </c>
      <c r="E74">
        <v>23.62</v>
      </c>
      <c r="F74">
        <v>442.3</v>
      </c>
      <c r="G74">
        <f t="shared" si="1"/>
        <v>392.017</v>
      </c>
    </row>
    <row r="75" customFormat="1" spans="1:7">
      <c r="A75">
        <v>2022</v>
      </c>
      <c r="B75" t="s">
        <v>19</v>
      </c>
      <c r="C75" t="s">
        <v>14</v>
      </c>
      <c r="D75">
        <v>7336</v>
      </c>
      <c r="E75">
        <v>20.43</v>
      </c>
      <c r="F75">
        <v>339.03</v>
      </c>
      <c r="G75">
        <f t="shared" si="1"/>
        <v>395.7355</v>
      </c>
    </row>
    <row r="76" customFormat="1" spans="1:7">
      <c r="A76">
        <v>2022</v>
      </c>
      <c r="B76" t="s">
        <v>19</v>
      </c>
      <c r="C76" t="s">
        <v>15</v>
      </c>
      <c r="D76">
        <v>7337</v>
      </c>
      <c r="E76">
        <v>29.84</v>
      </c>
      <c r="F76">
        <v>188.38</v>
      </c>
      <c r="G76">
        <f t="shared" si="1"/>
        <v>384.964</v>
      </c>
    </row>
    <row r="77" customFormat="1" spans="1:7">
      <c r="A77">
        <v>2022</v>
      </c>
      <c r="B77" t="s">
        <v>19</v>
      </c>
      <c r="C77" t="s">
        <v>16</v>
      </c>
      <c r="D77">
        <v>7338</v>
      </c>
      <c r="E77">
        <v>37.72</v>
      </c>
      <c r="F77">
        <v>67.53</v>
      </c>
      <c r="G77">
        <f t="shared" si="1"/>
        <v>375.952</v>
      </c>
    </row>
    <row r="78" customFormat="1" spans="1:7">
      <c r="A78">
        <v>2022</v>
      </c>
      <c r="B78" t="s">
        <v>19</v>
      </c>
      <c r="C78" t="s">
        <v>17</v>
      </c>
      <c r="D78">
        <v>7339</v>
      </c>
      <c r="E78">
        <v>23.93</v>
      </c>
      <c r="F78">
        <v>503.24</v>
      </c>
      <c r="G78">
        <f t="shared" si="1"/>
        <v>391.8605</v>
      </c>
    </row>
    <row r="79" customFormat="1" spans="1:7">
      <c r="A79">
        <v>2022</v>
      </c>
      <c r="B79" t="s">
        <v>19</v>
      </c>
      <c r="C79" t="s">
        <v>8</v>
      </c>
      <c r="D79">
        <v>7340</v>
      </c>
      <c r="E79">
        <v>47.47</v>
      </c>
      <c r="F79">
        <v>190.84</v>
      </c>
      <c r="G79">
        <f t="shared" si="1"/>
        <v>364.8395</v>
      </c>
    </row>
    <row r="80" customFormat="1" spans="1:7">
      <c r="A80">
        <v>2022</v>
      </c>
      <c r="B80" t="s">
        <v>19</v>
      </c>
      <c r="C80" t="s">
        <v>9</v>
      </c>
      <c r="D80">
        <v>7341</v>
      </c>
      <c r="E80">
        <v>11.57</v>
      </c>
      <c r="F80">
        <v>373.68</v>
      </c>
      <c r="G80">
        <f t="shared" si="1"/>
        <v>406.1745</v>
      </c>
    </row>
    <row r="81" customFormat="1" spans="1:7">
      <c r="A81">
        <v>2022</v>
      </c>
      <c r="B81" t="s">
        <v>19</v>
      </c>
      <c r="C81" t="s">
        <v>10</v>
      </c>
      <c r="D81">
        <v>7342</v>
      </c>
      <c r="E81">
        <v>26.72</v>
      </c>
      <c r="F81">
        <v>162.25</v>
      </c>
      <c r="G81">
        <f t="shared" si="1"/>
        <v>388.802</v>
      </c>
    </row>
    <row r="82" customFormat="1" spans="1:7">
      <c r="A82">
        <v>2022</v>
      </c>
      <c r="B82" t="s">
        <v>19</v>
      </c>
      <c r="C82" t="s">
        <v>11</v>
      </c>
      <c r="D82">
        <v>7343</v>
      </c>
      <c r="E82">
        <v>48.7</v>
      </c>
      <c r="F82">
        <v>167.8</v>
      </c>
      <c r="G82">
        <f t="shared" si="1"/>
        <v>363.575</v>
      </c>
    </row>
    <row r="83" customFormat="1" spans="1:7">
      <c r="A83">
        <v>2022</v>
      </c>
      <c r="B83" t="s">
        <v>19</v>
      </c>
      <c r="C83" t="s">
        <v>12</v>
      </c>
      <c r="D83">
        <v>7344</v>
      </c>
      <c r="E83">
        <v>31.92</v>
      </c>
      <c r="F83">
        <v>323.56</v>
      </c>
      <c r="G83">
        <f t="shared" si="1"/>
        <v>382.922</v>
      </c>
    </row>
    <row r="84" customFormat="1" spans="1:7">
      <c r="A84">
        <v>2022</v>
      </c>
      <c r="B84" t="s">
        <v>19</v>
      </c>
      <c r="C84" t="s">
        <v>13</v>
      </c>
      <c r="D84">
        <v>7345</v>
      </c>
      <c r="E84">
        <v>26.94</v>
      </c>
      <c r="F84">
        <v>385.39</v>
      </c>
      <c r="G84">
        <f t="shared" si="1"/>
        <v>388.699</v>
      </c>
    </row>
    <row r="85" customFormat="1" spans="1:7">
      <c r="A85">
        <v>2022</v>
      </c>
      <c r="B85" t="s">
        <v>19</v>
      </c>
      <c r="C85" t="s">
        <v>14</v>
      </c>
      <c r="D85">
        <v>7346</v>
      </c>
      <c r="E85">
        <v>32.74</v>
      </c>
      <c r="F85">
        <v>389.39</v>
      </c>
      <c r="G85">
        <f t="shared" si="1"/>
        <v>382.079</v>
      </c>
    </row>
    <row r="86" customFormat="1" spans="1:7">
      <c r="A86">
        <v>2022</v>
      </c>
      <c r="B86" t="s">
        <v>19</v>
      </c>
      <c r="C86" t="s">
        <v>15</v>
      </c>
      <c r="D86">
        <v>7347</v>
      </c>
      <c r="E86">
        <v>33.04</v>
      </c>
      <c r="F86">
        <v>85.12</v>
      </c>
      <c r="G86">
        <f t="shared" si="1"/>
        <v>381.784</v>
      </c>
    </row>
    <row r="87" customFormat="1" spans="1:7">
      <c r="A87">
        <v>2022</v>
      </c>
      <c r="B87" t="s">
        <v>19</v>
      </c>
      <c r="C87" t="s">
        <v>16</v>
      </c>
      <c r="D87">
        <v>7348</v>
      </c>
      <c r="E87">
        <v>39.27</v>
      </c>
      <c r="F87">
        <v>302.58</v>
      </c>
      <c r="G87">
        <f t="shared" si="1"/>
        <v>374.6695</v>
      </c>
    </row>
    <row r="88" customFormat="1" spans="1:7">
      <c r="A88">
        <v>2022</v>
      </c>
      <c r="B88" t="s">
        <v>19</v>
      </c>
      <c r="C88" t="s">
        <v>17</v>
      </c>
      <c r="D88">
        <v>7349</v>
      </c>
      <c r="E88">
        <v>15.11</v>
      </c>
      <c r="F88">
        <v>273.44</v>
      </c>
      <c r="G88">
        <f t="shared" si="1"/>
        <v>402.5035</v>
      </c>
    </row>
    <row r="89" customFormat="1" spans="1:7">
      <c r="A89">
        <v>2022</v>
      </c>
      <c r="B89" t="s">
        <v>20</v>
      </c>
      <c r="C89" t="s">
        <v>8</v>
      </c>
      <c r="D89">
        <v>7350</v>
      </c>
      <c r="E89">
        <v>20</v>
      </c>
      <c r="F89">
        <v>430.34</v>
      </c>
      <c r="G89">
        <f t="shared" si="1"/>
        <v>396.93</v>
      </c>
    </row>
    <row r="90" customFormat="1" spans="1:7">
      <c r="A90">
        <v>2022</v>
      </c>
      <c r="B90" t="s">
        <v>20</v>
      </c>
      <c r="C90" t="s">
        <v>9</v>
      </c>
      <c r="D90">
        <v>7351</v>
      </c>
      <c r="E90">
        <v>33.22</v>
      </c>
      <c r="F90">
        <v>196.41</v>
      </c>
      <c r="G90">
        <f t="shared" si="1"/>
        <v>381.777</v>
      </c>
    </row>
    <row r="91" customFormat="1" spans="1:7">
      <c r="A91">
        <v>2022</v>
      </c>
      <c r="B91" t="s">
        <v>20</v>
      </c>
      <c r="C91" t="s">
        <v>10</v>
      </c>
      <c r="D91">
        <v>7352</v>
      </c>
      <c r="E91">
        <v>44.68</v>
      </c>
      <c r="F91">
        <v>423.77</v>
      </c>
      <c r="G91">
        <f t="shared" si="1"/>
        <v>368.648</v>
      </c>
    </row>
    <row r="92" customFormat="1" spans="1:7">
      <c r="A92">
        <v>2022</v>
      </c>
      <c r="B92" t="s">
        <v>20</v>
      </c>
      <c r="C92" t="s">
        <v>11</v>
      </c>
      <c r="D92">
        <v>7353</v>
      </c>
      <c r="E92">
        <v>32.47</v>
      </c>
      <c r="F92">
        <v>484.28</v>
      </c>
      <c r="G92">
        <f t="shared" si="1"/>
        <v>382.7395</v>
      </c>
    </row>
    <row r="93" customFormat="1" spans="1:7">
      <c r="A93">
        <v>2022</v>
      </c>
      <c r="B93" t="s">
        <v>20</v>
      </c>
      <c r="C93" t="s">
        <v>12</v>
      </c>
      <c r="D93">
        <v>7354</v>
      </c>
      <c r="E93">
        <v>19.54</v>
      </c>
      <c r="F93">
        <v>180.29</v>
      </c>
      <c r="G93">
        <f t="shared" si="1"/>
        <v>397.659</v>
      </c>
    </row>
    <row r="94" customFormat="1" spans="1:7">
      <c r="A94">
        <v>2022</v>
      </c>
      <c r="B94" t="s">
        <v>20</v>
      </c>
      <c r="C94" t="s">
        <v>13</v>
      </c>
      <c r="D94">
        <v>7355</v>
      </c>
      <c r="E94">
        <v>37.19</v>
      </c>
      <c r="F94">
        <v>408.41</v>
      </c>
      <c r="G94">
        <f t="shared" si="1"/>
        <v>377.4115</v>
      </c>
    </row>
    <row r="95" customFormat="1" spans="1:7">
      <c r="A95">
        <v>2022</v>
      </c>
      <c r="B95" t="s">
        <v>20</v>
      </c>
      <c r="C95" t="s">
        <v>14</v>
      </c>
      <c r="D95">
        <v>7356</v>
      </c>
      <c r="E95">
        <v>39.6</v>
      </c>
      <c r="F95">
        <v>201.79</v>
      </c>
      <c r="G95">
        <f t="shared" si="1"/>
        <v>374.69</v>
      </c>
    </row>
    <row r="96" customFormat="1" spans="1:7">
      <c r="A96">
        <v>2022</v>
      </c>
      <c r="B96" t="s">
        <v>20</v>
      </c>
      <c r="C96" t="s">
        <v>15</v>
      </c>
      <c r="D96">
        <v>7357</v>
      </c>
      <c r="E96">
        <v>19.53</v>
      </c>
      <c r="F96">
        <v>566.35</v>
      </c>
      <c r="G96">
        <f t="shared" si="1"/>
        <v>397.8205</v>
      </c>
    </row>
    <row r="97" customFormat="1" spans="1:7">
      <c r="A97">
        <v>2022</v>
      </c>
      <c r="B97" t="s">
        <v>20</v>
      </c>
      <c r="C97" t="s">
        <v>16</v>
      </c>
      <c r="D97">
        <v>7358</v>
      </c>
      <c r="E97">
        <v>25.11</v>
      </c>
      <c r="F97">
        <v>220.78</v>
      </c>
      <c r="G97">
        <f t="shared" si="1"/>
        <v>391.4535</v>
      </c>
    </row>
    <row r="98" customFormat="1" spans="1:7">
      <c r="A98">
        <v>2022</v>
      </c>
      <c r="B98" t="s">
        <v>20</v>
      </c>
      <c r="C98" t="s">
        <v>17</v>
      </c>
      <c r="D98">
        <v>7359</v>
      </c>
      <c r="E98">
        <v>31.37</v>
      </c>
      <c r="F98">
        <v>501.4</v>
      </c>
      <c r="G98">
        <f t="shared" si="1"/>
        <v>384.3045</v>
      </c>
    </row>
    <row r="99" customFormat="1" spans="1:7">
      <c r="A99">
        <v>2022</v>
      </c>
      <c r="B99" t="s">
        <v>20</v>
      </c>
      <c r="C99" t="s">
        <v>8</v>
      </c>
      <c r="D99">
        <v>7360</v>
      </c>
      <c r="E99">
        <v>29.86</v>
      </c>
      <c r="F99">
        <v>293.41</v>
      </c>
      <c r="G99">
        <f t="shared" si="1"/>
        <v>386.091</v>
      </c>
    </row>
    <row r="100" customFormat="1" spans="1:7">
      <c r="A100">
        <v>2022</v>
      </c>
      <c r="B100" t="s">
        <v>20</v>
      </c>
      <c r="C100" t="s">
        <v>9</v>
      </c>
      <c r="D100">
        <v>7361</v>
      </c>
      <c r="E100">
        <v>25.58</v>
      </c>
      <c r="F100">
        <v>461.19</v>
      </c>
      <c r="G100">
        <f t="shared" si="1"/>
        <v>391.063</v>
      </c>
    </row>
    <row r="101" customFormat="1" spans="1:7">
      <c r="A101">
        <v>2022</v>
      </c>
      <c r="B101" t="s">
        <v>20</v>
      </c>
      <c r="C101" t="s">
        <v>10</v>
      </c>
      <c r="D101">
        <v>7362</v>
      </c>
      <c r="E101">
        <v>21.91</v>
      </c>
      <c r="F101">
        <v>232.12</v>
      </c>
      <c r="G101">
        <f t="shared" si="1"/>
        <v>395.3335</v>
      </c>
    </row>
    <row r="102" customFormat="1" spans="1:7">
      <c r="A102">
        <v>2022</v>
      </c>
      <c r="B102" t="s">
        <v>20</v>
      </c>
      <c r="C102" t="s">
        <v>11</v>
      </c>
      <c r="D102">
        <v>7363</v>
      </c>
      <c r="E102">
        <v>14</v>
      </c>
      <c r="F102">
        <v>122.5</v>
      </c>
      <c r="G102">
        <f t="shared" si="1"/>
        <v>404.48</v>
      </c>
    </row>
    <row r="103" customFormat="1" spans="1:7">
      <c r="A103">
        <v>2022</v>
      </c>
      <c r="B103" t="s">
        <v>20</v>
      </c>
      <c r="C103" t="s">
        <v>12</v>
      </c>
      <c r="D103">
        <v>7364</v>
      </c>
      <c r="E103">
        <v>12.14</v>
      </c>
      <c r="F103">
        <v>469.92</v>
      </c>
      <c r="G103">
        <f t="shared" si="1"/>
        <v>406.669</v>
      </c>
    </row>
    <row r="104" customFormat="1" spans="1:7">
      <c r="A104">
        <v>2022</v>
      </c>
      <c r="B104" t="s">
        <v>20</v>
      </c>
      <c r="C104" t="s">
        <v>13</v>
      </c>
      <c r="D104">
        <v>7365</v>
      </c>
      <c r="E104">
        <v>48.34</v>
      </c>
      <c r="F104">
        <v>71.34</v>
      </c>
      <c r="G104">
        <f t="shared" si="1"/>
        <v>365.089</v>
      </c>
    </row>
    <row r="105" customFormat="1" spans="1:7">
      <c r="A105">
        <v>2022</v>
      </c>
      <c r="B105" t="s">
        <v>20</v>
      </c>
      <c r="C105" t="s">
        <v>14</v>
      </c>
      <c r="D105">
        <v>7366</v>
      </c>
      <c r="E105">
        <v>43.89</v>
      </c>
      <c r="F105">
        <v>410.19</v>
      </c>
      <c r="G105">
        <f t="shared" si="1"/>
        <v>370.2565</v>
      </c>
    </row>
    <row r="106" customFormat="1" spans="1:7">
      <c r="A106">
        <v>2022</v>
      </c>
      <c r="B106" t="s">
        <v>20</v>
      </c>
      <c r="C106" t="s">
        <v>15</v>
      </c>
      <c r="D106">
        <v>7367</v>
      </c>
      <c r="E106">
        <v>24.2</v>
      </c>
      <c r="F106">
        <v>399.13</v>
      </c>
      <c r="G106">
        <f t="shared" si="1"/>
        <v>392.95</v>
      </c>
    </row>
    <row r="107" customFormat="1" spans="1:7">
      <c r="A107">
        <v>2022</v>
      </c>
      <c r="B107" t="s">
        <v>20</v>
      </c>
      <c r="C107" t="s">
        <v>16</v>
      </c>
      <c r="D107">
        <v>7368</v>
      </c>
      <c r="E107">
        <v>48.27</v>
      </c>
      <c r="F107">
        <v>248.96</v>
      </c>
      <c r="G107">
        <f t="shared" si="1"/>
        <v>365.3195</v>
      </c>
    </row>
    <row r="108" customFormat="1" spans="1:7">
      <c r="A108">
        <v>2022</v>
      </c>
      <c r="B108" t="s">
        <v>20</v>
      </c>
      <c r="C108" t="s">
        <v>17</v>
      </c>
      <c r="D108">
        <v>7369</v>
      </c>
      <c r="E108">
        <v>37.07</v>
      </c>
      <c r="F108">
        <v>69.91</v>
      </c>
      <c r="G108">
        <f t="shared" si="1"/>
        <v>378.2495</v>
      </c>
    </row>
    <row r="109" customFormat="1" spans="1:7">
      <c r="A109">
        <v>2022</v>
      </c>
      <c r="B109" t="s">
        <v>20</v>
      </c>
      <c r="C109" t="s">
        <v>8</v>
      </c>
      <c r="D109">
        <v>7370</v>
      </c>
      <c r="E109">
        <v>29.3</v>
      </c>
      <c r="F109">
        <v>309.49</v>
      </c>
      <c r="G109">
        <f t="shared" si="1"/>
        <v>387.235</v>
      </c>
    </row>
    <row r="110" customFormat="1" spans="1:7">
      <c r="A110">
        <v>2022</v>
      </c>
      <c r="B110" t="s">
        <v>20</v>
      </c>
      <c r="C110" t="s">
        <v>9</v>
      </c>
      <c r="D110">
        <v>7371</v>
      </c>
      <c r="E110">
        <v>29.72</v>
      </c>
      <c r="F110">
        <v>389.22</v>
      </c>
      <c r="G110">
        <f t="shared" si="1"/>
        <v>386.802</v>
      </c>
    </row>
    <row r="111" customFormat="1" spans="1:7">
      <c r="A111">
        <v>2022</v>
      </c>
      <c r="B111" t="s">
        <v>20</v>
      </c>
      <c r="C111" t="s">
        <v>10</v>
      </c>
      <c r="D111">
        <v>7372</v>
      </c>
      <c r="E111">
        <v>13.33</v>
      </c>
      <c r="F111">
        <v>457.5</v>
      </c>
      <c r="G111">
        <f t="shared" si="1"/>
        <v>405.7005</v>
      </c>
    </row>
    <row r="112" customFormat="1" spans="1:7">
      <c r="A112">
        <v>2022</v>
      </c>
      <c r="B112" t="s">
        <v>20</v>
      </c>
      <c r="C112" t="s">
        <v>11</v>
      </c>
      <c r="D112">
        <v>7373</v>
      </c>
      <c r="E112">
        <v>13.67</v>
      </c>
      <c r="F112">
        <v>425.44</v>
      </c>
      <c r="G112">
        <f t="shared" si="1"/>
        <v>405.3595</v>
      </c>
    </row>
    <row r="113" customFormat="1" spans="1:7">
      <c r="A113">
        <v>2022</v>
      </c>
      <c r="B113" t="s">
        <v>20</v>
      </c>
      <c r="C113" t="s">
        <v>12</v>
      </c>
      <c r="D113">
        <v>7374</v>
      </c>
      <c r="E113">
        <v>34.1</v>
      </c>
      <c r="F113">
        <v>141.66</v>
      </c>
      <c r="G113">
        <f t="shared" si="1"/>
        <v>381.915</v>
      </c>
    </row>
    <row r="114" customFormat="1" spans="1:7">
      <c r="A114">
        <v>2022</v>
      </c>
      <c r="B114" t="s">
        <v>20</v>
      </c>
      <c r="C114" t="s">
        <v>13</v>
      </c>
      <c r="D114">
        <v>7375</v>
      </c>
      <c r="E114">
        <v>32.15</v>
      </c>
      <c r="F114">
        <v>446.54</v>
      </c>
      <c r="G114">
        <f t="shared" si="1"/>
        <v>384.2075</v>
      </c>
    </row>
    <row r="115" customFormat="1" spans="1:7">
      <c r="A115">
        <v>2022</v>
      </c>
      <c r="B115" t="s">
        <v>20</v>
      </c>
      <c r="C115" t="s">
        <v>14</v>
      </c>
      <c r="D115">
        <v>7376</v>
      </c>
      <c r="E115">
        <v>18.51</v>
      </c>
      <c r="F115">
        <v>96.24</v>
      </c>
      <c r="G115">
        <f t="shared" si="1"/>
        <v>399.9435</v>
      </c>
    </row>
    <row r="116" customFormat="1" spans="1:7">
      <c r="A116">
        <v>2022</v>
      </c>
      <c r="B116" t="s">
        <v>20</v>
      </c>
      <c r="C116" t="s">
        <v>15</v>
      </c>
      <c r="D116">
        <v>7377</v>
      </c>
      <c r="E116">
        <v>47.85</v>
      </c>
      <c r="F116">
        <v>160.1</v>
      </c>
      <c r="G116">
        <f t="shared" si="1"/>
        <v>366.2525</v>
      </c>
    </row>
    <row r="117" customFormat="1" spans="1:7">
      <c r="A117">
        <v>2022</v>
      </c>
      <c r="B117" t="s">
        <v>20</v>
      </c>
      <c r="C117" t="s">
        <v>16</v>
      </c>
      <c r="D117">
        <v>7378</v>
      </c>
      <c r="E117">
        <v>41.25</v>
      </c>
      <c r="F117">
        <v>431.65</v>
      </c>
      <c r="G117">
        <f t="shared" si="1"/>
        <v>373.8925</v>
      </c>
    </row>
    <row r="118" customFormat="1" spans="1:7">
      <c r="A118">
        <v>2022</v>
      </c>
      <c r="B118" t="s">
        <v>20</v>
      </c>
      <c r="C118" t="s">
        <v>17</v>
      </c>
      <c r="D118">
        <v>7379</v>
      </c>
      <c r="E118">
        <v>14.54</v>
      </c>
      <c r="F118">
        <v>493.13</v>
      </c>
      <c r="G118">
        <f t="shared" si="1"/>
        <v>404.659</v>
      </c>
    </row>
    <row r="119" customFormat="1" spans="1:7">
      <c r="A119">
        <v>2022</v>
      </c>
      <c r="B119" t="s">
        <v>21</v>
      </c>
      <c r="C119" t="s">
        <v>8</v>
      </c>
      <c r="D119">
        <v>7380</v>
      </c>
      <c r="E119">
        <v>47.24</v>
      </c>
      <c r="F119">
        <v>327.06</v>
      </c>
      <c r="G119">
        <f t="shared" si="1"/>
        <v>367.104</v>
      </c>
    </row>
    <row r="120" customFormat="1" spans="1:7">
      <c r="A120">
        <v>2022</v>
      </c>
      <c r="B120" t="s">
        <v>21</v>
      </c>
      <c r="C120" t="s">
        <v>9</v>
      </c>
      <c r="D120">
        <v>7381</v>
      </c>
      <c r="E120">
        <v>48.97</v>
      </c>
      <c r="F120">
        <v>328.38</v>
      </c>
      <c r="G120">
        <f t="shared" si="1"/>
        <v>365.1645</v>
      </c>
    </row>
    <row r="121" customFormat="1" spans="1:7">
      <c r="A121">
        <v>2022</v>
      </c>
      <c r="B121" t="s">
        <v>21</v>
      </c>
      <c r="C121" t="s">
        <v>10</v>
      </c>
      <c r="D121">
        <v>7382</v>
      </c>
      <c r="E121">
        <v>49.84</v>
      </c>
      <c r="F121">
        <v>140.37</v>
      </c>
      <c r="G121">
        <f t="shared" si="1"/>
        <v>364.214</v>
      </c>
    </row>
    <row r="122" customFormat="1" spans="1:7">
      <c r="A122">
        <v>2022</v>
      </c>
      <c r="B122" t="s">
        <v>21</v>
      </c>
      <c r="C122" t="s">
        <v>11</v>
      </c>
      <c r="D122">
        <v>7383</v>
      </c>
      <c r="E122">
        <v>12.23</v>
      </c>
      <c r="F122">
        <v>451.41</v>
      </c>
      <c r="G122">
        <f t="shared" si="1"/>
        <v>407.5155</v>
      </c>
    </row>
    <row r="123" customFormat="1" spans="1:7">
      <c r="A123">
        <v>2022</v>
      </c>
      <c r="B123" t="s">
        <v>21</v>
      </c>
      <c r="C123" t="s">
        <v>12</v>
      </c>
      <c r="D123">
        <v>7384</v>
      </c>
      <c r="E123">
        <v>39.48</v>
      </c>
      <c r="F123">
        <v>353.02</v>
      </c>
      <c r="G123">
        <f t="shared" si="1"/>
        <v>376.228</v>
      </c>
    </row>
    <row r="124" customFormat="1" spans="1:7">
      <c r="A124">
        <v>2022</v>
      </c>
      <c r="B124" t="s">
        <v>21</v>
      </c>
      <c r="C124" t="s">
        <v>13</v>
      </c>
      <c r="D124">
        <v>7385</v>
      </c>
      <c r="E124">
        <v>31.84</v>
      </c>
      <c r="F124">
        <v>411.32</v>
      </c>
      <c r="G124">
        <f t="shared" si="1"/>
        <v>385.064</v>
      </c>
    </row>
    <row r="125" customFormat="1" spans="1:7">
      <c r="A125">
        <v>2022</v>
      </c>
      <c r="B125" t="s">
        <v>21</v>
      </c>
      <c r="C125" t="s">
        <v>14</v>
      </c>
      <c r="D125">
        <v>7386</v>
      </c>
      <c r="E125">
        <v>38.23</v>
      </c>
      <c r="F125">
        <v>159.06</v>
      </c>
      <c r="G125">
        <f t="shared" si="1"/>
        <v>377.7655</v>
      </c>
    </row>
    <row r="126" customFormat="1" spans="1:7">
      <c r="A126">
        <v>2022</v>
      </c>
      <c r="B126" t="s">
        <v>21</v>
      </c>
      <c r="C126" t="s">
        <v>15</v>
      </c>
      <c r="D126">
        <v>7387</v>
      </c>
      <c r="E126">
        <v>48.75</v>
      </c>
      <c r="F126">
        <v>198.66</v>
      </c>
      <c r="G126">
        <f t="shared" si="1"/>
        <v>365.7175</v>
      </c>
    </row>
    <row r="127" customFormat="1" spans="1:7">
      <c r="A127">
        <v>2022</v>
      </c>
      <c r="B127" t="s">
        <v>21</v>
      </c>
      <c r="C127" t="s">
        <v>16</v>
      </c>
      <c r="D127">
        <v>7388</v>
      </c>
      <c r="E127">
        <v>37.52</v>
      </c>
      <c r="F127">
        <v>285.47</v>
      </c>
      <c r="G127">
        <f t="shared" si="1"/>
        <v>378.682</v>
      </c>
    </row>
    <row r="128" customFormat="1" spans="1:7">
      <c r="A128">
        <v>2022</v>
      </c>
      <c r="B128" t="s">
        <v>21</v>
      </c>
      <c r="C128" t="s">
        <v>17</v>
      </c>
      <c r="D128">
        <v>7389</v>
      </c>
      <c r="E128">
        <v>43.48</v>
      </c>
      <c r="F128">
        <v>116.92</v>
      </c>
      <c r="G128">
        <f t="shared" si="1"/>
        <v>371.878</v>
      </c>
    </row>
    <row r="129" customFormat="1" spans="1:7">
      <c r="A129">
        <v>2022</v>
      </c>
      <c r="B129" t="s">
        <v>21</v>
      </c>
      <c r="C129" t="s">
        <v>8</v>
      </c>
      <c r="D129">
        <v>7390</v>
      </c>
      <c r="E129">
        <v>44.67</v>
      </c>
      <c r="F129">
        <v>396.6</v>
      </c>
      <c r="G129">
        <f t="shared" si="1"/>
        <v>370.5595</v>
      </c>
    </row>
    <row r="130" customFormat="1" spans="1:7">
      <c r="A130">
        <v>2022</v>
      </c>
      <c r="B130" t="s">
        <v>21</v>
      </c>
      <c r="C130" t="s">
        <v>9</v>
      </c>
      <c r="D130">
        <v>7391</v>
      </c>
      <c r="E130">
        <v>43.54</v>
      </c>
      <c r="F130">
        <v>204.83</v>
      </c>
      <c r="G130">
        <f t="shared" si="1"/>
        <v>371.909</v>
      </c>
    </row>
    <row r="131" customFormat="1" spans="1:7">
      <c r="A131">
        <v>2022</v>
      </c>
      <c r="B131" t="s">
        <v>21</v>
      </c>
      <c r="C131" t="s">
        <v>10</v>
      </c>
      <c r="D131">
        <v>7392</v>
      </c>
      <c r="E131">
        <v>27.04</v>
      </c>
      <c r="F131">
        <v>354.43</v>
      </c>
      <c r="G131">
        <f t="shared" si="1"/>
        <v>390.934</v>
      </c>
    </row>
    <row r="132" customFormat="1" spans="1:7">
      <c r="A132">
        <v>2022</v>
      </c>
      <c r="B132" t="s">
        <v>21</v>
      </c>
      <c r="C132" t="s">
        <v>11</v>
      </c>
      <c r="D132">
        <v>7393</v>
      </c>
      <c r="E132">
        <v>18.9</v>
      </c>
      <c r="F132">
        <v>213.62</v>
      </c>
      <c r="G132">
        <f t="shared" si="1"/>
        <v>400.345</v>
      </c>
    </row>
    <row r="133" customFormat="1" spans="1:7">
      <c r="A133">
        <v>2022</v>
      </c>
      <c r="B133" t="s">
        <v>21</v>
      </c>
      <c r="C133" t="s">
        <v>12</v>
      </c>
      <c r="D133">
        <v>7394</v>
      </c>
      <c r="E133">
        <v>25.87</v>
      </c>
      <c r="F133">
        <v>246.49</v>
      </c>
      <c r="G133">
        <f t="shared" ref="G133:G196" si="2">52.43+(0.05*D133)-(1.15*E133)</f>
        <v>392.3795</v>
      </c>
    </row>
    <row r="134" customFormat="1" spans="1:7">
      <c r="A134">
        <v>2022</v>
      </c>
      <c r="B134" t="s">
        <v>21</v>
      </c>
      <c r="C134" t="s">
        <v>13</v>
      </c>
      <c r="D134">
        <v>7395</v>
      </c>
      <c r="E134">
        <v>45.68</v>
      </c>
      <c r="F134">
        <v>323.95</v>
      </c>
      <c r="G134">
        <f t="shared" si="2"/>
        <v>369.648</v>
      </c>
    </row>
    <row r="135" customFormat="1" spans="1:7">
      <c r="A135">
        <v>2022</v>
      </c>
      <c r="B135" t="s">
        <v>21</v>
      </c>
      <c r="C135" t="s">
        <v>14</v>
      </c>
      <c r="D135">
        <v>7396</v>
      </c>
      <c r="E135">
        <v>15.86</v>
      </c>
      <c r="F135">
        <v>140.23</v>
      </c>
      <c r="G135">
        <f t="shared" si="2"/>
        <v>403.991</v>
      </c>
    </row>
    <row r="136" customFormat="1" spans="1:7">
      <c r="A136">
        <v>2022</v>
      </c>
      <c r="B136" t="s">
        <v>21</v>
      </c>
      <c r="C136" t="s">
        <v>15</v>
      </c>
      <c r="D136">
        <v>7397</v>
      </c>
      <c r="E136">
        <v>30.53</v>
      </c>
      <c r="F136">
        <v>348.5</v>
      </c>
      <c r="G136">
        <f t="shared" si="2"/>
        <v>387.1705</v>
      </c>
    </row>
    <row r="137" customFormat="1" spans="1:7">
      <c r="A137">
        <v>2022</v>
      </c>
      <c r="B137" t="s">
        <v>21</v>
      </c>
      <c r="C137" t="s">
        <v>16</v>
      </c>
      <c r="D137">
        <v>7398</v>
      </c>
      <c r="E137">
        <v>19.33</v>
      </c>
      <c r="F137">
        <v>432.04</v>
      </c>
      <c r="G137">
        <f t="shared" si="2"/>
        <v>400.1005</v>
      </c>
    </row>
    <row r="138" customFormat="1" spans="1:7">
      <c r="A138">
        <v>2022</v>
      </c>
      <c r="B138" t="s">
        <v>21</v>
      </c>
      <c r="C138" t="s">
        <v>17</v>
      </c>
      <c r="D138">
        <v>7399</v>
      </c>
      <c r="E138">
        <v>33.25</v>
      </c>
      <c r="F138">
        <v>143.52</v>
      </c>
      <c r="G138">
        <f t="shared" si="2"/>
        <v>384.1425</v>
      </c>
    </row>
    <row r="139" customFormat="1" spans="1:7">
      <c r="A139">
        <v>2022</v>
      </c>
      <c r="B139" t="s">
        <v>21</v>
      </c>
      <c r="C139" t="s">
        <v>8</v>
      </c>
      <c r="D139">
        <v>7400</v>
      </c>
      <c r="E139">
        <v>44.53</v>
      </c>
      <c r="F139">
        <v>371.92</v>
      </c>
      <c r="G139">
        <f t="shared" si="2"/>
        <v>371.2205</v>
      </c>
    </row>
    <row r="140" customFormat="1" spans="1:7">
      <c r="A140">
        <v>2022</v>
      </c>
      <c r="B140" t="s">
        <v>21</v>
      </c>
      <c r="C140" t="s">
        <v>9</v>
      </c>
      <c r="D140">
        <v>7401</v>
      </c>
      <c r="E140">
        <v>45.21</v>
      </c>
      <c r="F140">
        <v>325.84</v>
      </c>
      <c r="G140">
        <f t="shared" si="2"/>
        <v>370.4885</v>
      </c>
    </row>
    <row r="141" customFormat="1" spans="1:7">
      <c r="A141">
        <v>2022</v>
      </c>
      <c r="B141" t="s">
        <v>21</v>
      </c>
      <c r="C141" t="s">
        <v>10</v>
      </c>
      <c r="D141">
        <v>7402</v>
      </c>
      <c r="E141">
        <v>19.47</v>
      </c>
      <c r="F141">
        <v>461.85</v>
      </c>
      <c r="G141">
        <f t="shared" si="2"/>
        <v>400.1395</v>
      </c>
    </row>
    <row r="142" customFormat="1" spans="1:7">
      <c r="A142">
        <v>2022</v>
      </c>
      <c r="B142" t="s">
        <v>21</v>
      </c>
      <c r="C142" t="s">
        <v>11</v>
      </c>
      <c r="D142">
        <v>7403</v>
      </c>
      <c r="E142">
        <v>46.31</v>
      </c>
      <c r="F142">
        <v>489.76</v>
      </c>
      <c r="G142">
        <f t="shared" si="2"/>
        <v>369.3235</v>
      </c>
    </row>
    <row r="143" customFormat="1" spans="1:7">
      <c r="A143">
        <v>2022</v>
      </c>
      <c r="B143" t="s">
        <v>21</v>
      </c>
      <c r="C143" t="s">
        <v>12</v>
      </c>
      <c r="D143">
        <v>7404</v>
      </c>
      <c r="E143">
        <v>33.68</v>
      </c>
      <c r="F143">
        <v>383.87</v>
      </c>
      <c r="G143">
        <f t="shared" si="2"/>
        <v>383.898</v>
      </c>
    </row>
    <row r="144" customFormat="1" spans="1:7">
      <c r="A144">
        <v>2022</v>
      </c>
      <c r="B144" t="s">
        <v>21</v>
      </c>
      <c r="C144" t="s">
        <v>13</v>
      </c>
      <c r="D144">
        <v>7405</v>
      </c>
      <c r="E144">
        <v>24.01</v>
      </c>
      <c r="F144">
        <v>315.1</v>
      </c>
      <c r="G144">
        <f t="shared" si="2"/>
        <v>395.0685</v>
      </c>
    </row>
    <row r="145" customFormat="1" spans="1:7">
      <c r="A145">
        <v>2022</v>
      </c>
      <c r="B145" t="s">
        <v>21</v>
      </c>
      <c r="C145" t="s">
        <v>14</v>
      </c>
      <c r="D145">
        <v>7406</v>
      </c>
      <c r="E145">
        <v>38.33</v>
      </c>
      <c r="F145">
        <v>276.85</v>
      </c>
      <c r="G145">
        <f t="shared" si="2"/>
        <v>378.6505</v>
      </c>
    </row>
    <row r="146" customFormat="1" spans="1:7">
      <c r="A146">
        <v>2022</v>
      </c>
      <c r="B146" t="s">
        <v>21</v>
      </c>
      <c r="C146" t="s">
        <v>15</v>
      </c>
      <c r="D146">
        <v>7407</v>
      </c>
      <c r="E146">
        <v>29.27</v>
      </c>
      <c r="F146">
        <v>274.87</v>
      </c>
      <c r="G146">
        <f t="shared" si="2"/>
        <v>389.1195</v>
      </c>
    </row>
    <row r="147" customFormat="1" spans="1:7">
      <c r="A147">
        <v>2022</v>
      </c>
      <c r="B147" t="s">
        <v>21</v>
      </c>
      <c r="C147" t="s">
        <v>16</v>
      </c>
      <c r="D147">
        <v>7408</v>
      </c>
      <c r="E147">
        <v>25.12</v>
      </c>
      <c r="F147">
        <v>91.44</v>
      </c>
      <c r="G147">
        <f t="shared" si="2"/>
        <v>393.942</v>
      </c>
    </row>
    <row r="148" customFormat="1" spans="1:7">
      <c r="A148">
        <v>2022</v>
      </c>
      <c r="B148" t="s">
        <v>21</v>
      </c>
      <c r="C148" t="s">
        <v>17</v>
      </c>
      <c r="D148">
        <v>7409</v>
      </c>
      <c r="E148">
        <v>38.2</v>
      </c>
      <c r="F148">
        <v>135.84</v>
      </c>
      <c r="G148">
        <f t="shared" si="2"/>
        <v>378.95</v>
      </c>
    </row>
    <row r="149" customFormat="1" spans="1:7">
      <c r="A149">
        <v>2022</v>
      </c>
      <c r="B149" t="s">
        <v>21</v>
      </c>
      <c r="C149" t="s">
        <v>8</v>
      </c>
      <c r="D149">
        <v>7410</v>
      </c>
      <c r="E149">
        <v>19.95</v>
      </c>
      <c r="F149">
        <v>458.34</v>
      </c>
      <c r="G149">
        <f t="shared" si="2"/>
        <v>399.9875</v>
      </c>
    </row>
    <row r="150" customFormat="1" spans="1:7">
      <c r="A150">
        <v>2022</v>
      </c>
      <c r="B150" t="s">
        <v>22</v>
      </c>
      <c r="C150" t="s">
        <v>9</v>
      </c>
      <c r="D150">
        <v>7411</v>
      </c>
      <c r="E150">
        <v>23.21</v>
      </c>
      <c r="F150">
        <v>114.66</v>
      </c>
      <c r="G150">
        <f t="shared" si="2"/>
        <v>396.2885</v>
      </c>
    </row>
    <row r="151" customFormat="1" spans="1:7">
      <c r="A151">
        <v>2022</v>
      </c>
      <c r="B151" t="s">
        <v>22</v>
      </c>
      <c r="C151" t="s">
        <v>10</v>
      </c>
      <c r="D151">
        <v>7412</v>
      </c>
      <c r="E151">
        <v>27.38</v>
      </c>
      <c r="F151">
        <v>259.34</v>
      </c>
      <c r="G151">
        <f t="shared" si="2"/>
        <v>391.543</v>
      </c>
    </row>
    <row r="152" customFormat="1" spans="1:7">
      <c r="A152">
        <v>2022</v>
      </c>
      <c r="B152" t="s">
        <v>22</v>
      </c>
      <c r="C152" t="s">
        <v>11</v>
      </c>
      <c r="D152">
        <v>7413</v>
      </c>
      <c r="E152">
        <v>20.15</v>
      </c>
      <c r="F152">
        <v>257.38</v>
      </c>
      <c r="G152">
        <f t="shared" si="2"/>
        <v>399.9075</v>
      </c>
    </row>
    <row r="153" customFormat="1" spans="1:7">
      <c r="A153">
        <v>2022</v>
      </c>
      <c r="B153" t="s">
        <v>22</v>
      </c>
      <c r="C153" t="s">
        <v>12</v>
      </c>
      <c r="D153">
        <v>7414</v>
      </c>
      <c r="E153">
        <v>26.21</v>
      </c>
      <c r="F153">
        <v>321.19</v>
      </c>
      <c r="G153">
        <f t="shared" si="2"/>
        <v>392.9885</v>
      </c>
    </row>
    <row r="154" customFormat="1" spans="1:7">
      <c r="A154">
        <v>2022</v>
      </c>
      <c r="B154" t="s">
        <v>22</v>
      </c>
      <c r="C154" t="s">
        <v>13</v>
      </c>
      <c r="D154">
        <v>7415</v>
      </c>
      <c r="E154">
        <v>32.86</v>
      </c>
      <c r="F154">
        <v>110.74</v>
      </c>
      <c r="G154">
        <f t="shared" si="2"/>
        <v>385.391</v>
      </c>
    </row>
    <row r="155" customFormat="1" spans="1:7">
      <c r="A155">
        <v>2022</v>
      </c>
      <c r="B155" t="s">
        <v>22</v>
      </c>
      <c r="C155" t="s">
        <v>14</v>
      </c>
      <c r="D155">
        <v>7416</v>
      </c>
      <c r="E155">
        <v>39.64</v>
      </c>
      <c r="F155">
        <v>353.01</v>
      </c>
      <c r="G155">
        <f t="shared" si="2"/>
        <v>377.644</v>
      </c>
    </row>
    <row r="156" customFormat="1" spans="1:7">
      <c r="A156">
        <v>2022</v>
      </c>
      <c r="B156" t="s">
        <v>22</v>
      </c>
      <c r="C156" t="s">
        <v>15</v>
      </c>
      <c r="D156">
        <v>7417</v>
      </c>
      <c r="E156">
        <v>40.69</v>
      </c>
      <c r="F156">
        <v>145.03</v>
      </c>
      <c r="G156">
        <f t="shared" si="2"/>
        <v>376.4865</v>
      </c>
    </row>
    <row r="157" customFormat="1" spans="1:7">
      <c r="A157">
        <v>2022</v>
      </c>
      <c r="B157" t="s">
        <v>22</v>
      </c>
      <c r="C157" t="s">
        <v>16</v>
      </c>
      <c r="D157">
        <v>7418</v>
      </c>
      <c r="E157">
        <v>42.91</v>
      </c>
      <c r="F157">
        <v>233.62</v>
      </c>
      <c r="G157">
        <f t="shared" si="2"/>
        <v>373.9835</v>
      </c>
    </row>
    <row r="158" customFormat="1" spans="1:7">
      <c r="A158">
        <v>2022</v>
      </c>
      <c r="B158" t="s">
        <v>22</v>
      </c>
      <c r="C158" t="s">
        <v>17</v>
      </c>
      <c r="D158">
        <v>7419</v>
      </c>
      <c r="E158">
        <v>39.77</v>
      </c>
      <c r="F158">
        <v>453.31</v>
      </c>
      <c r="G158">
        <f t="shared" si="2"/>
        <v>377.6445</v>
      </c>
    </row>
    <row r="159" customFormat="1" spans="1:7">
      <c r="A159">
        <v>2022</v>
      </c>
      <c r="B159" t="s">
        <v>22</v>
      </c>
      <c r="C159" t="s">
        <v>8</v>
      </c>
      <c r="D159">
        <v>7420</v>
      </c>
      <c r="E159">
        <v>37.24</v>
      </c>
      <c r="F159">
        <v>440.11</v>
      </c>
      <c r="G159">
        <f t="shared" si="2"/>
        <v>380.604</v>
      </c>
    </row>
    <row r="160" customFormat="1" spans="1:7">
      <c r="A160">
        <v>2022</v>
      </c>
      <c r="B160" t="s">
        <v>22</v>
      </c>
      <c r="C160" t="s">
        <v>9</v>
      </c>
      <c r="D160">
        <v>7421</v>
      </c>
      <c r="E160">
        <v>19.5</v>
      </c>
      <c r="F160">
        <v>138.39</v>
      </c>
      <c r="G160">
        <f t="shared" si="2"/>
        <v>401.055</v>
      </c>
    </row>
    <row r="161" customFormat="1" spans="1:7">
      <c r="A161">
        <v>2022</v>
      </c>
      <c r="B161" t="s">
        <v>22</v>
      </c>
      <c r="C161" t="s">
        <v>10</v>
      </c>
      <c r="D161">
        <v>7422</v>
      </c>
      <c r="E161">
        <v>26.01</v>
      </c>
      <c r="F161">
        <v>302.19</v>
      </c>
      <c r="G161">
        <f t="shared" si="2"/>
        <v>393.6185</v>
      </c>
    </row>
    <row r="162" customFormat="1" spans="1:7">
      <c r="A162">
        <v>2022</v>
      </c>
      <c r="B162" t="s">
        <v>22</v>
      </c>
      <c r="C162" t="s">
        <v>11</v>
      </c>
      <c r="D162">
        <v>7423</v>
      </c>
      <c r="E162">
        <v>29.11</v>
      </c>
      <c r="F162">
        <v>138.96</v>
      </c>
      <c r="G162">
        <f t="shared" si="2"/>
        <v>390.1035</v>
      </c>
    </row>
    <row r="163" customFormat="1" spans="1:7">
      <c r="A163">
        <v>2022</v>
      </c>
      <c r="B163" t="s">
        <v>22</v>
      </c>
      <c r="C163" t="s">
        <v>12</v>
      </c>
      <c r="D163">
        <v>7424</v>
      </c>
      <c r="E163">
        <v>13.32</v>
      </c>
      <c r="F163">
        <v>309.6</v>
      </c>
      <c r="G163">
        <f t="shared" si="2"/>
        <v>408.312</v>
      </c>
    </row>
    <row r="164" customFormat="1" spans="1:7">
      <c r="A164">
        <v>2022</v>
      </c>
      <c r="B164" t="s">
        <v>22</v>
      </c>
      <c r="C164" t="s">
        <v>13</v>
      </c>
      <c r="D164">
        <v>7425</v>
      </c>
      <c r="E164">
        <v>31.13</v>
      </c>
      <c r="F164">
        <v>33.97</v>
      </c>
      <c r="G164">
        <f t="shared" si="2"/>
        <v>387.8805</v>
      </c>
    </row>
    <row r="165" customFormat="1" spans="1:7">
      <c r="A165">
        <v>2022</v>
      </c>
      <c r="B165" t="s">
        <v>22</v>
      </c>
      <c r="C165" t="s">
        <v>14</v>
      </c>
      <c r="D165">
        <v>7426</v>
      </c>
      <c r="E165">
        <v>27.45</v>
      </c>
      <c r="F165">
        <v>468.13</v>
      </c>
      <c r="G165">
        <f t="shared" si="2"/>
        <v>392.1625</v>
      </c>
    </row>
    <row r="166" customFormat="1" spans="1:7">
      <c r="A166">
        <v>2022</v>
      </c>
      <c r="B166" t="s">
        <v>22</v>
      </c>
      <c r="C166" t="s">
        <v>15</v>
      </c>
      <c r="D166">
        <v>7427</v>
      </c>
      <c r="E166">
        <v>42.08</v>
      </c>
      <c r="F166">
        <v>347.01</v>
      </c>
      <c r="G166">
        <f t="shared" si="2"/>
        <v>375.388</v>
      </c>
    </row>
    <row r="167" customFormat="1" spans="1:7">
      <c r="A167">
        <v>2022</v>
      </c>
      <c r="B167" t="s">
        <v>22</v>
      </c>
      <c r="C167" t="s">
        <v>16</v>
      </c>
      <c r="D167">
        <v>7428</v>
      </c>
      <c r="E167">
        <v>49.12</v>
      </c>
      <c r="F167">
        <v>399.31</v>
      </c>
      <c r="G167">
        <f t="shared" si="2"/>
        <v>367.342</v>
      </c>
    </row>
    <row r="168" customFormat="1" spans="1:7">
      <c r="A168">
        <v>2022</v>
      </c>
      <c r="B168" t="s">
        <v>22</v>
      </c>
      <c r="C168" t="s">
        <v>17</v>
      </c>
      <c r="D168">
        <v>7429</v>
      </c>
      <c r="E168">
        <v>32.24</v>
      </c>
      <c r="F168">
        <v>383.28</v>
      </c>
      <c r="G168">
        <f t="shared" si="2"/>
        <v>386.804</v>
      </c>
    </row>
    <row r="169" customFormat="1" spans="1:7">
      <c r="A169">
        <v>2022</v>
      </c>
      <c r="B169" t="s">
        <v>22</v>
      </c>
      <c r="C169" t="s">
        <v>8</v>
      </c>
      <c r="D169">
        <v>7430</v>
      </c>
      <c r="E169">
        <v>22.91</v>
      </c>
      <c r="F169">
        <v>318.39</v>
      </c>
      <c r="G169">
        <f t="shared" si="2"/>
        <v>397.5835</v>
      </c>
    </row>
    <row r="170" customFormat="1" spans="1:7">
      <c r="A170">
        <v>2022</v>
      </c>
      <c r="B170" t="s">
        <v>22</v>
      </c>
      <c r="C170" t="s">
        <v>9</v>
      </c>
      <c r="D170">
        <v>7431</v>
      </c>
      <c r="E170">
        <v>11.74</v>
      </c>
      <c r="F170">
        <v>362.95</v>
      </c>
      <c r="G170">
        <f t="shared" si="2"/>
        <v>410.479</v>
      </c>
    </row>
    <row r="171" customFormat="1" spans="1:7">
      <c r="A171">
        <v>2022</v>
      </c>
      <c r="B171" t="s">
        <v>22</v>
      </c>
      <c r="C171" t="s">
        <v>10</v>
      </c>
      <c r="D171">
        <v>7432</v>
      </c>
      <c r="E171">
        <v>46.99</v>
      </c>
      <c r="F171">
        <v>130.24</v>
      </c>
      <c r="G171">
        <f t="shared" si="2"/>
        <v>369.9915</v>
      </c>
    </row>
    <row r="172" customFormat="1" spans="1:7">
      <c r="A172">
        <v>2022</v>
      </c>
      <c r="B172" t="s">
        <v>22</v>
      </c>
      <c r="C172" t="s">
        <v>11</v>
      </c>
      <c r="D172">
        <v>7433</v>
      </c>
      <c r="E172">
        <v>46.76</v>
      </c>
      <c r="F172">
        <v>352.46</v>
      </c>
      <c r="G172">
        <f t="shared" si="2"/>
        <v>370.306</v>
      </c>
    </row>
    <row r="173" customFormat="1" spans="1:7">
      <c r="A173">
        <v>2022</v>
      </c>
      <c r="B173" t="s">
        <v>22</v>
      </c>
      <c r="C173" t="s">
        <v>12</v>
      </c>
      <c r="D173">
        <v>7434</v>
      </c>
      <c r="E173">
        <v>20.12</v>
      </c>
      <c r="F173">
        <v>377.05</v>
      </c>
      <c r="G173">
        <f t="shared" si="2"/>
        <v>400.992</v>
      </c>
    </row>
    <row r="174" customFormat="1" spans="1:7">
      <c r="A174">
        <v>2022</v>
      </c>
      <c r="B174" t="s">
        <v>22</v>
      </c>
      <c r="C174" t="s">
        <v>13</v>
      </c>
      <c r="D174">
        <v>7435</v>
      </c>
      <c r="E174">
        <v>37.82</v>
      </c>
      <c r="F174">
        <v>257.68</v>
      </c>
      <c r="G174">
        <f t="shared" si="2"/>
        <v>380.687</v>
      </c>
    </row>
    <row r="175" customFormat="1" spans="1:7">
      <c r="A175">
        <v>2022</v>
      </c>
      <c r="B175" t="s">
        <v>22</v>
      </c>
      <c r="C175" t="s">
        <v>14</v>
      </c>
      <c r="D175">
        <v>7436</v>
      </c>
      <c r="E175">
        <v>13.02</v>
      </c>
      <c r="F175">
        <v>244.47</v>
      </c>
      <c r="G175">
        <f t="shared" si="2"/>
        <v>409.257</v>
      </c>
    </row>
    <row r="176" customFormat="1" spans="1:7">
      <c r="A176">
        <v>2022</v>
      </c>
      <c r="B176" t="s">
        <v>22</v>
      </c>
      <c r="C176" t="s">
        <v>15</v>
      </c>
      <c r="D176">
        <v>7437</v>
      </c>
      <c r="E176">
        <v>16.65</v>
      </c>
      <c r="F176">
        <v>77.64</v>
      </c>
      <c r="G176">
        <f t="shared" si="2"/>
        <v>405.1325</v>
      </c>
    </row>
    <row r="177" customFormat="1" spans="1:7">
      <c r="A177">
        <v>2022</v>
      </c>
      <c r="B177" t="s">
        <v>22</v>
      </c>
      <c r="C177" t="s">
        <v>16</v>
      </c>
      <c r="D177">
        <v>7438</v>
      </c>
      <c r="E177">
        <v>18.67</v>
      </c>
      <c r="F177">
        <v>339.92</v>
      </c>
      <c r="G177">
        <f t="shared" si="2"/>
        <v>402.8595</v>
      </c>
    </row>
    <row r="178" customFormat="1" spans="1:7">
      <c r="A178">
        <v>2022</v>
      </c>
      <c r="B178" t="s">
        <v>22</v>
      </c>
      <c r="C178" t="s">
        <v>17</v>
      </c>
      <c r="D178">
        <v>7439</v>
      </c>
      <c r="E178">
        <v>21.78</v>
      </c>
      <c r="F178">
        <v>524.74</v>
      </c>
      <c r="G178">
        <f t="shared" si="2"/>
        <v>399.333</v>
      </c>
    </row>
    <row r="179" customFormat="1" spans="1:7">
      <c r="A179">
        <v>2022</v>
      </c>
      <c r="B179" t="s">
        <v>22</v>
      </c>
      <c r="C179" t="s">
        <v>8</v>
      </c>
      <c r="D179">
        <v>7440</v>
      </c>
      <c r="E179">
        <v>49.83</v>
      </c>
      <c r="F179">
        <v>275.9</v>
      </c>
      <c r="G179">
        <f t="shared" si="2"/>
        <v>367.1255</v>
      </c>
    </row>
    <row r="180" customFormat="1" spans="1:7">
      <c r="A180">
        <v>2022</v>
      </c>
      <c r="B180" t="s">
        <v>23</v>
      </c>
      <c r="C180" t="s">
        <v>9</v>
      </c>
      <c r="D180">
        <v>7441</v>
      </c>
      <c r="E180">
        <v>37.88</v>
      </c>
      <c r="F180">
        <v>133.28</v>
      </c>
      <c r="G180">
        <f t="shared" si="2"/>
        <v>380.918</v>
      </c>
    </row>
    <row r="181" customFormat="1" spans="1:7">
      <c r="A181">
        <v>2022</v>
      </c>
      <c r="B181" t="s">
        <v>23</v>
      </c>
      <c r="C181" t="s">
        <v>10</v>
      </c>
      <c r="D181">
        <v>7442</v>
      </c>
      <c r="E181">
        <v>25.37</v>
      </c>
      <c r="F181">
        <v>472.62</v>
      </c>
      <c r="G181">
        <f t="shared" si="2"/>
        <v>395.3545</v>
      </c>
    </row>
    <row r="182" customFormat="1" spans="1:7">
      <c r="A182">
        <v>2022</v>
      </c>
      <c r="B182" t="s">
        <v>23</v>
      </c>
      <c r="C182" t="s">
        <v>11</v>
      </c>
      <c r="D182">
        <v>7443</v>
      </c>
      <c r="E182">
        <v>39.48</v>
      </c>
      <c r="F182">
        <v>218.74</v>
      </c>
      <c r="G182">
        <f t="shared" si="2"/>
        <v>379.178</v>
      </c>
    </row>
    <row r="183" customFormat="1" spans="1:7">
      <c r="A183">
        <v>2022</v>
      </c>
      <c r="B183" t="s">
        <v>23</v>
      </c>
      <c r="C183" t="s">
        <v>12</v>
      </c>
      <c r="D183">
        <v>7444</v>
      </c>
      <c r="E183">
        <v>46.61</v>
      </c>
      <c r="F183">
        <v>450.16</v>
      </c>
      <c r="G183">
        <f t="shared" si="2"/>
        <v>371.0285</v>
      </c>
    </row>
    <row r="184" customFormat="1" spans="1:7">
      <c r="A184">
        <v>2022</v>
      </c>
      <c r="B184" t="s">
        <v>23</v>
      </c>
      <c r="C184" t="s">
        <v>13</v>
      </c>
      <c r="D184">
        <v>7445</v>
      </c>
      <c r="E184">
        <v>48.35</v>
      </c>
      <c r="F184">
        <v>64.3</v>
      </c>
      <c r="G184">
        <f t="shared" si="2"/>
        <v>369.0775</v>
      </c>
    </row>
    <row r="185" customFormat="1" spans="1:7">
      <c r="A185">
        <v>2022</v>
      </c>
      <c r="B185" t="s">
        <v>23</v>
      </c>
      <c r="C185" t="s">
        <v>14</v>
      </c>
      <c r="D185">
        <v>7446</v>
      </c>
      <c r="E185">
        <v>12.31</v>
      </c>
      <c r="F185">
        <v>441.73</v>
      </c>
      <c r="G185">
        <f t="shared" si="2"/>
        <v>410.5735</v>
      </c>
    </row>
    <row r="186" customFormat="1" spans="1:7">
      <c r="A186">
        <v>2022</v>
      </c>
      <c r="B186" t="s">
        <v>23</v>
      </c>
      <c r="C186" t="s">
        <v>15</v>
      </c>
      <c r="D186">
        <v>7447</v>
      </c>
      <c r="E186">
        <v>25.78</v>
      </c>
      <c r="F186">
        <v>166.79</v>
      </c>
      <c r="G186">
        <f t="shared" si="2"/>
        <v>395.133</v>
      </c>
    </row>
    <row r="187" customFormat="1" spans="1:7">
      <c r="A187">
        <v>2022</v>
      </c>
      <c r="B187" t="s">
        <v>23</v>
      </c>
      <c r="C187" t="s">
        <v>16</v>
      </c>
      <c r="D187">
        <v>7448</v>
      </c>
      <c r="E187">
        <v>14.27</v>
      </c>
      <c r="F187">
        <v>363.36</v>
      </c>
      <c r="G187">
        <f t="shared" si="2"/>
        <v>408.4195</v>
      </c>
    </row>
    <row r="188" customFormat="1" spans="1:7">
      <c r="A188">
        <v>2022</v>
      </c>
      <c r="B188" t="s">
        <v>23</v>
      </c>
      <c r="C188" t="s">
        <v>17</v>
      </c>
      <c r="D188">
        <v>7449</v>
      </c>
      <c r="E188">
        <v>23.43</v>
      </c>
      <c r="F188">
        <v>493.88</v>
      </c>
      <c r="G188">
        <f t="shared" si="2"/>
        <v>397.9355</v>
      </c>
    </row>
    <row r="189" customFormat="1" spans="1:7">
      <c r="A189">
        <v>2022</v>
      </c>
      <c r="B189" t="s">
        <v>23</v>
      </c>
      <c r="C189" t="s">
        <v>8</v>
      </c>
      <c r="D189">
        <v>7450</v>
      </c>
      <c r="E189">
        <v>16.79</v>
      </c>
      <c r="F189">
        <v>298.57</v>
      </c>
      <c r="G189">
        <f t="shared" si="2"/>
        <v>405.6215</v>
      </c>
    </row>
    <row r="190" customFormat="1" spans="1:7">
      <c r="A190">
        <v>2022</v>
      </c>
      <c r="B190" t="s">
        <v>23</v>
      </c>
      <c r="C190" t="s">
        <v>9</v>
      </c>
      <c r="D190">
        <v>7451</v>
      </c>
      <c r="E190">
        <v>35.87</v>
      </c>
      <c r="F190">
        <v>168.18</v>
      </c>
      <c r="G190">
        <f t="shared" si="2"/>
        <v>383.7295</v>
      </c>
    </row>
    <row r="191" customFormat="1" spans="1:7">
      <c r="A191">
        <v>2022</v>
      </c>
      <c r="B191" t="s">
        <v>23</v>
      </c>
      <c r="C191" t="s">
        <v>10</v>
      </c>
      <c r="D191">
        <v>7452</v>
      </c>
      <c r="E191">
        <v>25.53</v>
      </c>
      <c r="F191">
        <v>116.09</v>
      </c>
      <c r="G191">
        <f t="shared" si="2"/>
        <v>395.6705</v>
      </c>
    </row>
    <row r="192" customFormat="1" spans="1:7">
      <c r="A192">
        <v>2022</v>
      </c>
      <c r="B192" t="s">
        <v>23</v>
      </c>
      <c r="C192" t="s">
        <v>11</v>
      </c>
      <c r="D192">
        <v>7453</v>
      </c>
      <c r="E192">
        <v>19.18</v>
      </c>
      <c r="F192">
        <v>226.87</v>
      </c>
      <c r="G192">
        <f t="shared" si="2"/>
        <v>403.023</v>
      </c>
    </row>
    <row r="193" customFormat="1" spans="1:7">
      <c r="A193">
        <v>2022</v>
      </c>
      <c r="B193" t="s">
        <v>23</v>
      </c>
      <c r="C193" t="s">
        <v>12</v>
      </c>
      <c r="D193">
        <v>7454</v>
      </c>
      <c r="E193">
        <v>20.64</v>
      </c>
      <c r="F193">
        <v>457.48</v>
      </c>
      <c r="G193">
        <f t="shared" si="2"/>
        <v>401.394</v>
      </c>
    </row>
    <row r="194" customFormat="1" spans="1:7">
      <c r="A194">
        <v>2022</v>
      </c>
      <c r="B194" t="s">
        <v>23</v>
      </c>
      <c r="C194" t="s">
        <v>13</v>
      </c>
      <c r="D194">
        <v>7455</v>
      </c>
      <c r="E194">
        <v>24.41</v>
      </c>
      <c r="F194">
        <v>417.17</v>
      </c>
      <c r="G194">
        <f t="shared" si="2"/>
        <v>397.1085</v>
      </c>
    </row>
    <row r="195" customFormat="1" spans="1:7">
      <c r="A195">
        <v>2022</v>
      </c>
      <c r="B195" t="s">
        <v>23</v>
      </c>
      <c r="C195" t="s">
        <v>14</v>
      </c>
      <c r="D195">
        <v>7456</v>
      </c>
      <c r="E195">
        <v>20.4</v>
      </c>
      <c r="F195">
        <v>179.37</v>
      </c>
      <c r="G195">
        <f t="shared" si="2"/>
        <v>401.77</v>
      </c>
    </row>
    <row r="196" customFormat="1" spans="1:7">
      <c r="A196">
        <v>2022</v>
      </c>
      <c r="B196" t="s">
        <v>23</v>
      </c>
      <c r="C196" t="s">
        <v>15</v>
      </c>
      <c r="D196">
        <v>7457</v>
      </c>
      <c r="E196">
        <v>28.13</v>
      </c>
      <c r="F196">
        <v>498.1</v>
      </c>
      <c r="G196">
        <f t="shared" si="2"/>
        <v>392.9305</v>
      </c>
    </row>
    <row r="197" customFormat="1" spans="1:7">
      <c r="A197">
        <v>2022</v>
      </c>
      <c r="B197" t="s">
        <v>23</v>
      </c>
      <c r="C197" t="s">
        <v>16</v>
      </c>
      <c r="D197">
        <v>7458</v>
      </c>
      <c r="E197">
        <v>11.29</v>
      </c>
      <c r="F197">
        <v>252.1</v>
      </c>
      <c r="G197">
        <f t="shared" ref="G197:G260" si="3">52.43+(0.05*D197)-(1.15*E197)</f>
        <v>412.3465</v>
      </c>
    </row>
    <row r="198" customFormat="1" spans="1:7">
      <c r="A198">
        <v>2022</v>
      </c>
      <c r="B198" t="s">
        <v>23</v>
      </c>
      <c r="C198" t="s">
        <v>17</v>
      </c>
      <c r="D198">
        <v>7459</v>
      </c>
      <c r="E198">
        <v>21.19</v>
      </c>
      <c r="F198">
        <v>151.12</v>
      </c>
      <c r="G198">
        <f t="shared" si="3"/>
        <v>401.0115</v>
      </c>
    </row>
    <row r="199" customFormat="1" spans="1:7">
      <c r="A199">
        <v>2022</v>
      </c>
      <c r="B199" t="s">
        <v>23</v>
      </c>
      <c r="C199" t="s">
        <v>8</v>
      </c>
      <c r="D199">
        <v>7460</v>
      </c>
      <c r="E199">
        <v>26.45</v>
      </c>
      <c r="F199">
        <v>153.83</v>
      </c>
      <c r="G199">
        <f t="shared" si="3"/>
        <v>395.0125</v>
      </c>
    </row>
    <row r="200" customFormat="1" spans="1:7">
      <c r="A200">
        <v>2022</v>
      </c>
      <c r="B200" t="s">
        <v>23</v>
      </c>
      <c r="C200" t="s">
        <v>9</v>
      </c>
      <c r="D200">
        <v>7461</v>
      </c>
      <c r="E200">
        <v>34.11</v>
      </c>
      <c r="F200">
        <v>491.13</v>
      </c>
      <c r="G200">
        <f t="shared" si="3"/>
        <v>386.2535</v>
      </c>
    </row>
    <row r="201" customFormat="1" spans="1:7">
      <c r="A201">
        <v>2022</v>
      </c>
      <c r="B201" t="s">
        <v>23</v>
      </c>
      <c r="C201" t="s">
        <v>10</v>
      </c>
      <c r="D201">
        <v>7462</v>
      </c>
      <c r="E201">
        <v>20.84</v>
      </c>
      <c r="F201">
        <v>214.28</v>
      </c>
      <c r="G201">
        <f t="shared" si="3"/>
        <v>401.564</v>
      </c>
    </row>
    <row r="202" customFormat="1" spans="1:7">
      <c r="A202">
        <v>2022</v>
      </c>
      <c r="B202" t="s">
        <v>23</v>
      </c>
      <c r="C202" t="s">
        <v>11</v>
      </c>
      <c r="D202">
        <v>7463</v>
      </c>
      <c r="E202">
        <v>15.33</v>
      </c>
      <c r="F202">
        <v>199.87</v>
      </c>
      <c r="G202">
        <f t="shared" si="3"/>
        <v>407.9505</v>
      </c>
    </row>
    <row r="203" customFormat="1" spans="1:7">
      <c r="A203">
        <v>2022</v>
      </c>
      <c r="B203" t="s">
        <v>23</v>
      </c>
      <c r="C203" t="s">
        <v>12</v>
      </c>
      <c r="D203">
        <v>7464</v>
      </c>
      <c r="E203">
        <v>13.05</v>
      </c>
      <c r="F203">
        <v>359.75</v>
      </c>
      <c r="G203">
        <f t="shared" si="3"/>
        <v>410.6225</v>
      </c>
    </row>
    <row r="204" customFormat="1" spans="1:7">
      <c r="A204">
        <v>2022</v>
      </c>
      <c r="B204" t="s">
        <v>23</v>
      </c>
      <c r="C204" t="s">
        <v>13</v>
      </c>
      <c r="D204">
        <v>7465</v>
      </c>
      <c r="E204">
        <v>47.62</v>
      </c>
      <c r="F204">
        <v>402.59</v>
      </c>
      <c r="G204">
        <f t="shared" si="3"/>
        <v>370.917</v>
      </c>
    </row>
    <row r="205" customFormat="1" spans="1:7">
      <c r="A205">
        <v>2022</v>
      </c>
      <c r="B205" t="s">
        <v>23</v>
      </c>
      <c r="C205" t="s">
        <v>14</v>
      </c>
      <c r="D205">
        <v>7466</v>
      </c>
      <c r="E205">
        <v>26.67</v>
      </c>
      <c r="F205">
        <v>179.91</v>
      </c>
      <c r="G205">
        <f t="shared" si="3"/>
        <v>395.0595</v>
      </c>
    </row>
    <row r="206" customFormat="1" spans="1:7">
      <c r="A206">
        <v>2022</v>
      </c>
      <c r="B206" t="s">
        <v>23</v>
      </c>
      <c r="C206" t="s">
        <v>15</v>
      </c>
      <c r="D206">
        <v>7467</v>
      </c>
      <c r="E206">
        <v>33.25</v>
      </c>
      <c r="F206">
        <v>306.35</v>
      </c>
      <c r="G206">
        <f t="shared" si="3"/>
        <v>387.5425</v>
      </c>
    </row>
    <row r="207" customFormat="1" spans="1:7">
      <c r="A207">
        <v>2022</v>
      </c>
      <c r="B207" t="s">
        <v>23</v>
      </c>
      <c r="C207" t="s">
        <v>16</v>
      </c>
      <c r="D207">
        <v>7468</v>
      </c>
      <c r="E207">
        <v>46.77</v>
      </c>
      <c r="F207">
        <v>137.31</v>
      </c>
      <c r="G207">
        <f t="shared" si="3"/>
        <v>372.0445</v>
      </c>
    </row>
    <row r="208" customFormat="1" spans="1:7">
      <c r="A208">
        <v>2022</v>
      </c>
      <c r="B208" t="s">
        <v>23</v>
      </c>
      <c r="C208" t="s">
        <v>17</v>
      </c>
      <c r="D208">
        <v>7469</v>
      </c>
      <c r="E208">
        <v>13.31</v>
      </c>
      <c r="F208">
        <v>472.26</v>
      </c>
      <c r="G208">
        <f t="shared" si="3"/>
        <v>410.5735</v>
      </c>
    </row>
    <row r="209" customFormat="1" spans="1:7">
      <c r="A209">
        <v>2022</v>
      </c>
      <c r="B209" t="s">
        <v>23</v>
      </c>
      <c r="C209" t="s">
        <v>8</v>
      </c>
      <c r="D209">
        <v>7470</v>
      </c>
      <c r="E209">
        <v>45.07</v>
      </c>
      <c r="F209">
        <v>451.52</v>
      </c>
      <c r="G209">
        <f t="shared" si="3"/>
        <v>374.0995</v>
      </c>
    </row>
    <row r="210" customFormat="1" spans="1:7">
      <c r="A210">
        <v>2022</v>
      </c>
      <c r="B210" t="s">
        <v>23</v>
      </c>
      <c r="C210" t="s">
        <v>9</v>
      </c>
      <c r="D210">
        <v>7471</v>
      </c>
      <c r="E210">
        <v>32.06</v>
      </c>
      <c r="F210">
        <v>399</v>
      </c>
      <c r="G210">
        <f t="shared" si="3"/>
        <v>389.111</v>
      </c>
    </row>
    <row r="211" customFormat="1" spans="1:7">
      <c r="A211">
        <v>2022</v>
      </c>
      <c r="B211" t="s">
        <v>24</v>
      </c>
      <c r="C211" t="s">
        <v>10</v>
      </c>
      <c r="D211">
        <v>7472</v>
      </c>
      <c r="E211">
        <v>16.59</v>
      </c>
      <c r="F211">
        <v>355.5</v>
      </c>
      <c r="G211">
        <f t="shared" si="3"/>
        <v>406.9515</v>
      </c>
    </row>
    <row r="212" customFormat="1" spans="1:7">
      <c r="A212">
        <v>2022</v>
      </c>
      <c r="B212" t="s">
        <v>24</v>
      </c>
      <c r="C212" t="s">
        <v>11</v>
      </c>
      <c r="D212">
        <v>7473</v>
      </c>
      <c r="E212">
        <v>26.45</v>
      </c>
      <c r="F212">
        <v>244.46</v>
      </c>
      <c r="G212">
        <f t="shared" si="3"/>
        <v>395.6625</v>
      </c>
    </row>
    <row r="213" customFormat="1" spans="1:7">
      <c r="A213">
        <v>2022</v>
      </c>
      <c r="B213" t="s">
        <v>24</v>
      </c>
      <c r="C213" t="s">
        <v>12</v>
      </c>
      <c r="D213">
        <v>7474</v>
      </c>
      <c r="E213">
        <v>41.1</v>
      </c>
      <c r="F213">
        <v>97.8</v>
      </c>
      <c r="G213">
        <f t="shared" si="3"/>
        <v>378.865</v>
      </c>
    </row>
    <row r="214" customFormat="1" spans="1:7">
      <c r="A214">
        <v>2022</v>
      </c>
      <c r="B214" t="s">
        <v>24</v>
      </c>
      <c r="C214" t="s">
        <v>13</v>
      </c>
      <c r="D214">
        <v>7475</v>
      </c>
      <c r="E214">
        <v>29.21</v>
      </c>
      <c r="F214">
        <v>381.05</v>
      </c>
      <c r="G214">
        <f t="shared" si="3"/>
        <v>392.5885</v>
      </c>
    </row>
    <row r="215" customFormat="1" spans="1:7">
      <c r="A215">
        <v>2022</v>
      </c>
      <c r="B215" t="s">
        <v>24</v>
      </c>
      <c r="C215" t="s">
        <v>14</v>
      </c>
      <c r="D215">
        <v>7476</v>
      </c>
      <c r="E215">
        <v>49.41</v>
      </c>
      <c r="F215">
        <v>465.57</v>
      </c>
      <c r="G215">
        <f t="shared" si="3"/>
        <v>369.4085</v>
      </c>
    </row>
    <row r="216" customFormat="1" spans="1:7">
      <c r="A216">
        <v>2022</v>
      </c>
      <c r="B216" t="s">
        <v>24</v>
      </c>
      <c r="C216" t="s">
        <v>15</v>
      </c>
      <c r="D216">
        <v>7477</v>
      </c>
      <c r="E216">
        <v>25.07</v>
      </c>
      <c r="F216">
        <v>204.78</v>
      </c>
      <c r="G216">
        <f t="shared" si="3"/>
        <v>397.4495</v>
      </c>
    </row>
    <row r="217" customFormat="1" spans="1:7">
      <c r="A217">
        <v>2022</v>
      </c>
      <c r="B217" t="s">
        <v>24</v>
      </c>
      <c r="C217" t="s">
        <v>16</v>
      </c>
      <c r="D217">
        <v>7478</v>
      </c>
      <c r="E217">
        <v>39.98</v>
      </c>
      <c r="F217">
        <v>335.52</v>
      </c>
      <c r="G217">
        <f t="shared" si="3"/>
        <v>380.353</v>
      </c>
    </row>
    <row r="218" customFormat="1" spans="1:7">
      <c r="A218">
        <v>2022</v>
      </c>
      <c r="B218" t="s">
        <v>24</v>
      </c>
      <c r="C218" t="s">
        <v>17</v>
      </c>
      <c r="D218">
        <v>7479</v>
      </c>
      <c r="E218">
        <v>25.72</v>
      </c>
      <c r="F218">
        <v>272.53</v>
      </c>
      <c r="G218">
        <f t="shared" si="3"/>
        <v>396.802</v>
      </c>
    </row>
    <row r="219" customFormat="1" spans="1:7">
      <c r="A219">
        <v>2022</v>
      </c>
      <c r="B219" t="s">
        <v>24</v>
      </c>
      <c r="C219" t="s">
        <v>8</v>
      </c>
      <c r="D219">
        <v>7480</v>
      </c>
      <c r="E219">
        <v>43.17</v>
      </c>
      <c r="F219">
        <v>182.71</v>
      </c>
      <c r="G219">
        <f t="shared" si="3"/>
        <v>376.7845</v>
      </c>
    </row>
    <row r="220" customFormat="1" spans="1:7">
      <c r="A220">
        <v>2022</v>
      </c>
      <c r="B220" t="s">
        <v>24</v>
      </c>
      <c r="C220" t="s">
        <v>9</v>
      </c>
      <c r="D220">
        <v>7481</v>
      </c>
      <c r="E220">
        <v>32.76</v>
      </c>
      <c r="F220">
        <v>414.14</v>
      </c>
      <c r="G220">
        <f t="shared" si="3"/>
        <v>388.806</v>
      </c>
    </row>
    <row r="221" customFormat="1" spans="1:7">
      <c r="A221">
        <v>2022</v>
      </c>
      <c r="B221" t="s">
        <v>24</v>
      </c>
      <c r="C221" t="s">
        <v>10</v>
      </c>
      <c r="D221">
        <v>7482</v>
      </c>
      <c r="E221">
        <v>12.54</v>
      </c>
      <c r="F221">
        <v>460.9</v>
      </c>
      <c r="G221">
        <f t="shared" si="3"/>
        <v>412.109</v>
      </c>
    </row>
    <row r="222" customFormat="1" spans="1:7">
      <c r="A222">
        <v>2022</v>
      </c>
      <c r="B222" t="s">
        <v>24</v>
      </c>
      <c r="C222" t="s">
        <v>11</v>
      </c>
      <c r="D222">
        <v>7483</v>
      </c>
      <c r="E222">
        <v>11.47</v>
      </c>
      <c r="F222">
        <v>257.19</v>
      </c>
      <c r="G222">
        <f t="shared" si="3"/>
        <v>413.3895</v>
      </c>
    </row>
    <row r="223" customFormat="1" spans="1:7">
      <c r="A223">
        <v>2022</v>
      </c>
      <c r="B223" t="s">
        <v>24</v>
      </c>
      <c r="C223" t="s">
        <v>12</v>
      </c>
      <c r="D223">
        <v>7484</v>
      </c>
      <c r="E223">
        <v>15.35</v>
      </c>
      <c r="F223">
        <v>213.33</v>
      </c>
      <c r="G223">
        <f t="shared" si="3"/>
        <v>408.9775</v>
      </c>
    </row>
    <row r="224" customFormat="1" spans="1:7">
      <c r="A224">
        <v>2022</v>
      </c>
      <c r="B224" t="s">
        <v>24</v>
      </c>
      <c r="C224" t="s">
        <v>13</v>
      </c>
      <c r="D224">
        <v>7485</v>
      </c>
      <c r="E224">
        <v>10.55</v>
      </c>
      <c r="F224">
        <v>155.84</v>
      </c>
      <c r="G224">
        <f t="shared" si="3"/>
        <v>414.5475</v>
      </c>
    </row>
    <row r="225" customFormat="1" spans="1:7">
      <c r="A225">
        <v>2022</v>
      </c>
      <c r="B225" t="s">
        <v>24</v>
      </c>
      <c r="C225" t="s">
        <v>14</v>
      </c>
      <c r="D225">
        <v>7486</v>
      </c>
      <c r="E225">
        <v>13.01</v>
      </c>
      <c r="F225">
        <v>336.27</v>
      </c>
      <c r="G225">
        <f t="shared" si="3"/>
        <v>411.7685</v>
      </c>
    </row>
    <row r="226" customFormat="1" spans="1:7">
      <c r="A226">
        <v>2022</v>
      </c>
      <c r="B226" t="s">
        <v>24</v>
      </c>
      <c r="C226" t="s">
        <v>15</v>
      </c>
      <c r="D226">
        <v>7487</v>
      </c>
      <c r="E226">
        <v>37.67</v>
      </c>
      <c r="F226">
        <v>372.08</v>
      </c>
      <c r="G226">
        <f t="shared" si="3"/>
        <v>383.4595</v>
      </c>
    </row>
    <row r="227" customFormat="1" spans="1:7">
      <c r="A227">
        <v>2022</v>
      </c>
      <c r="B227" t="s">
        <v>24</v>
      </c>
      <c r="C227" t="s">
        <v>16</v>
      </c>
      <c r="D227">
        <v>7488</v>
      </c>
      <c r="E227">
        <v>31.37</v>
      </c>
      <c r="F227">
        <v>357.01</v>
      </c>
      <c r="G227">
        <f t="shared" si="3"/>
        <v>390.7545</v>
      </c>
    </row>
    <row r="228" customFormat="1" spans="1:7">
      <c r="A228">
        <v>2022</v>
      </c>
      <c r="B228" t="s">
        <v>24</v>
      </c>
      <c r="C228" t="s">
        <v>17</v>
      </c>
      <c r="D228">
        <v>7489</v>
      </c>
      <c r="E228">
        <v>40</v>
      </c>
      <c r="F228">
        <v>134.34</v>
      </c>
      <c r="G228">
        <f t="shared" si="3"/>
        <v>380.88</v>
      </c>
    </row>
    <row r="229" customFormat="1" spans="1:7">
      <c r="A229">
        <v>2022</v>
      </c>
      <c r="B229" t="s">
        <v>24</v>
      </c>
      <c r="C229" t="s">
        <v>8</v>
      </c>
      <c r="D229">
        <v>7490</v>
      </c>
      <c r="E229">
        <v>46.53</v>
      </c>
      <c r="F229">
        <v>319.74</v>
      </c>
      <c r="G229">
        <f t="shared" si="3"/>
        <v>373.4205</v>
      </c>
    </row>
    <row r="230" customFormat="1" spans="1:7">
      <c r="A230">
        <v>2022</v>
      </c>
      <c r="B230" t="s">
        <v>24</v>
      </c>
      <c r="C230" t="s">
        <v>9</v>
      </c>
      <c r="D230">
        <v>7491</v>
      </c>
      <c r="E230">
        <v>33.41</v>
      </c>
      <c r="F230">
        <v>218.3</v>
      </c>
      <c r="G230">
        <f t="shared" si="3"/>
        <v>388.5585</v>
      </c>
    </row>
    <row r="231" customFormat="1" spans="1:7">
      <c r="A231">
        <v>2022</v>
      </c>
      <c r="B231" t="s">
        <v>24</v>
      </c>
      <c r="C231" t="s">
        <v>10</v>
      </c>
      <c r="D231">
        <v>7492</v>
      </c>
      <c r="E231">
        <v>39.04</v>
      </c>
      <c r="F231">
        <v>464.17</v>
      </c>
      <c r="G231">
        <f t="shared" si="3"/>
        <v>382.134</v>
      </c>
    </row>
    <row r="232" customFormat="1" spans="1:7">
      <c r="A232">
        <v>2022</v>
      </c>
      <c r="B232" t="s">
        <v>24</v>
      </c>
      <c r="C232" t="s">
        <v>11</v>
      </c>
      <c r="D232">
        <v>7493</v>
      </c>
      <c r="E232">
        <v>40.28</v>
      </c>
      <c r="F232">
        <v>185.79</v>
      </c>
      <c r="G232">
        <f t="shared" si="3"/>
        <v>380.758</v>
      </c>
    </row>
    <row r="233" customFormat="1" spans="1:7">
      <c r="A233">
        <v>2022</v>
      </c>
      <c r="B233" t="s">
        <v>24</v>
      </c>
      <c r="C233" t="s">
        <v>12</v>
      </c>
      <c r="D233">
        <v>7494</v>
      </c>
      <c r="E233">
        <v>25.11</v>
      </c>
      <c r="F233">
        <v>340.98</v>
      </c>
      <c r="G233">
        <f t="shared" si="3"/>
        <v>398.2535</v>
      </c>
    </row>
    <row r="234" customFormat="1" spans="1:7">
      <c r="A234">
        <v>2022</v>
      </c>
      <c r="B234" t="s">
        <v>24</v>
      </c>
      <c r="C234" t="s">
        <v>13</v>
      </c>
      <c r="D234">
        <v>7495</v>
      </c>
      <c r="E234">
        <v>19.64</v>
      </c>
      <c r="F234">
        <v>68.4</v>
      </c>
      <c r="G234">
        <f t="shared" si="3"/>
        <v>404.594</v>
      </c>
    </row>
    <row r="235" customFormat="1" spans="1:7">
      <c r="A235">
        <v>2022</v>
      </c>
      <c r="B235" t="s">
        <v>24</v>
      </c>
      <c r="C235" t="s">
        <v>14</v>
      </c>
      <c r="D235">
        <v>7496</v>
      </c>
      <c r="E235">
        <v>18.2</v>
      </c>
      <c r="F235">
        <v>206.39</v>
      </c>
      <c r="G235">
        <f t="shared" si="3"/>
        <v>406.3</v>
      </c>
    </row>
    <row r="236" customFormat="1" spans="1:7">
      <c r="A236">
        <v>2022</v>
      </c>
      <c r="B236" t="s">
        <v>24</v>
      </c>
      <c r="C236" t="s">
        <v>15</v>
      </c>
      <c r="D236">
        <v>7497</v>
      </c>
      <c r="E236">
        <v>20.06</v>
      </c>
      <c r="F236">
        <v>205.65</v>
      </c>
      <c r="G236">
        <f t="shared" si="3"/>
        <v>404.211</v>
      </c>
    </row>
    <row r="237" customFormat="1" spans="1:7">
      <c r="A237">
        <v>2022</v>
      </c>
      <c r="B237" t="s">
        <v>24</v>
      </c>
      <c r="C237" t="s">
        <v>16</v>
      </c>
      <c r="D237">
        <v>7498</v>
      </c>
      <c r="E237">
        <v>20.99</v>
      </c>
      <c r="F237">
        <v>337.7</v>
      </c>
      <c r="G237">
        <f t="shared" si="3"/>
        <v>403.1915</v>
      </c>
    </row>
    <row r="238" customFormat="1" spans="1:7">
      <c r="A238">
        <v>2022</v>
      </c>
      <c r="B238" t="s">
        <v>24</v>
      </c>
      <c r="C238" t="s">
        <v>17</v>
      </c>
      <c r="D238">
        <v>7499</v>
      </c>
      <c r="E238">
        <v>18.29</v>
      </c>
      <c r="F238">
        <v>273.05</v>
      </c>
      <c r="G238">
        <f t="shared" si="3"/>
        <v>406.3465</v>
      </c>
    </row>
    <row r="239" customFormat="1" spans="1:7">
      <c r="A239">
        <v>2022</v>
      </c>
      <c r="B239" t="s">
        <v>24</v>
      </c>
      <c r="C239" t="s">
        <v>8</v>
      </c>
      <c r="D239">
        <v>7500</v>
      </c>
      <c r="E239">
        <v>45.13</v>
      </c>
      <c r="F239">
        <v>244.51</v>
      </c>
      <c r="G239">
        <f t="shared" si="3"/>
        <v>375.5305</v>
      </c>
    </row>
    <row r="240" customFormat="1" spans="1:7">
      <c r="A240">
        <v>2022</v>
      </c>
      <c r="B240" t="s">
        <v>24</v>
      </c>
      <c r="C240" t="s">
        <v>9</v>
      </c>
      <c r="D240">
        <v>7501</v>
      </c>
      <c r="E240">
        <v>40.28</v>
      </c>
      <c r="F240">
        <v>95.15</v>
      </c>
      <c r="G240">
        <f t="shared" si="3"/>
        <v>381.158</v>
      </c>
    </row>
    <row r="241" customFormat="1" spans="1:7">
      <c r="A241">
        <v>2022</v>
      </c>
      <c r="B241" t="s">
        <v>24</v>
      </c>
      <c r="C241" t="s">
        <v>10</v>
      </c>
      <c r="D241">
        <v>7502</v>
      </c>
      <c r="E241">
        <v>11.88</v>
      </c>
      <c r="F241">
        <v>496.88</v>
      </c>
      <c r="G241">
        <f t="shared" si="3"/>
        <v>413.868</v>
      </c>
    </row>
    <row r="242" customFormat="1" spans="1:7">
      <c r="A242">
        <v>2022</v>
      </c>
      <c r="B242" t="s">
        <v>25</v>
      </c>
      <c r="C242" t="s">
        <v>11</v>
      </c>
      <c r="D242">
        <v>7503</v>
      </c>
      <c r="E242">
        <v>20.75</v>
      </c>
      <c r="F242">
        <v>382.92</v>
      </c>
      <c r="G242">
        <f t="shared" si="3"/>
        <v>403.7175</v>
      </c>
    </row>
    <row r="243" customFormat="1" spans="1:7">
      <c r="A243">
        <v>2022</v>
      </c>
      <c r="B243" t="s">
        <v>25</v>
      </c>
      <c r="C243" t="s">
        <v>12</v>
      </c>
      <c r="D243">
        <v>7504</v>
      </c>
      <c r="E243">
        <v>10.89</v>
      </c>
      <c r="F243">
        <v>425.76</v>
      </c>
      <c r="G243">
        <f t="shared" si="3"/>
        <v>415.1065</v>
      </c>
    </row>
    <row r="244" customFormat="1" spans="1:7">
      <c r="A244">
        <v>2022</v>
      </c>
      <c r="B244" t="s">
        <v>25</v>
      </c>
      <c r="C244" t="s">
        <v>13</v>
      </c>
      <c r="D244">
        <v>7505</v>
      </c>
      <c r="E244">
        <v>29.93</v>
      </c>
      <c r="F244">
        <v>317.84</v>
      </c>
      <c r="G244">
        <f t="shared" si="3"/>
        <v>393.2605</v>
      </c>
    </row>
    <row r="245" customFormat="1" spans="1:7">
      <c r="A245">
        <v>2022</v>
      </c>
      <c r="B245" t="s">
        <v>25</v>
      </c>
      <c r="C245" t="s">
        <v>14</v>
      </c>
      <c r="D245">
        <v>7506</v>
      </c>
      <c r="E245">
        <v>29.05</v>
      </c>
      <c r="F245">
        <v>318.12</v>
      </c>
      <c r="G245">
        <f t="shared" si="3"/>
        <v>394.3225</v>
      </c>
    </row>
    <row r="246" customFormat="1" spans="1:7">
      <c r="A246">
        <v>2022</v>
      </c>
      <c r="B246" t="s">
        <v>25</v>
      </c>
      <c r="C246" t="s">
        <v>15</v>
      </c>
      <c r="D246">
        <v>7507</v>
      </c>
      <c r="E246">
        <v>43.25</v>
      </c>
      <c r="F246">
        <v>245.08</v>
      </c>
      <c r="G246">
        <f t="shared" si="3"/>
        <v>378.0425</v>
      </c>
    </row>
    <row r="247" customFormat="1" spans="1:7">
      <c r="A247">
        <v>2022</v>
      </c>
      <c r="B247" t="s">
        <v>25</v>
      </c>
      <c r="C247" t="s">
        <v>16</v>
      </c>
      <c r="D247">
        <v>7508</v>
      </c>
      <c r="E247">
        <v>22.31</v>
      </c>
      <c r="F247">
        <v>369.48</v>
      </c>
      <c r="G247">
        <f t="shared" si="3"/>
        <v>402.1735</v>
      </c>
    </row>
    <row r="248" customFormat="1" spans="1:7">
      <c r="A248">
        <v>2022</v>
      </c>
      <c r="B248" t="s">
        <v>25</v>
      </c>
      <c r="C248" t="s">
        <v>17</v>
      </c>
      <c r="D248">
        <v>7509</v>
      </c>
      <c r="E248">
        <v>42.66</v>
      </c>
      <c r="F248">
        <v>133.87</v>
      </c>
      <c r="G248">
        <f t="shared" si="3"/>
        <v>378.821</v>
      </c>
    </row>
    <row r="249" customFormat="1" spans="1:7">
      <c r="A249">
        <v>2022</v>
      </c>
      <c r="B249" t="s">
        <v>25</v>
      </c>
      <c r="C249" t="s">
        <v>8</v>
      </c>
      <c r="D249">
        <v>7510</v>
      </c>
      <c r="E249">
        <v>48.72</v>
      </c>
      <c r="F249">
        <v>270.95</v>
      </c>
      <c r="G249">
        <f t="shared" si="3"/>
        <v>371.902</v>
      </c>
    </row>
    <row r="250" customFormat="1" spans="1:7">
      <c r="A250">
        <v>2022</v>
      </c>
      <c r="B250" t="s">
        <v>25</v>
      </c>
      <c r="C250" t="s">
        <v>9</v>
      </c>
      <c r="D250">
        <v>7511</v>
      </c>
      <c r="E250">
        <v>13.54</v>
      </c>
      <c r="F250">
        <v>329.15</v>
      </c>
      <c r="G250">
        <f t="shared" si="3"/>
        <v>412.409</v>
      </c>
    </row>
    <row r="251" customFormat="1" spans="1:7">
      <c r="A251">
        <v>2022</v>
      </c>
      <c r="B251" t="s">
        <v>25</v>
      </c>
      <c r="C251" t="s">
        <v>10</v>
      </c>
      <c r="D251">
        <v>7512</v>
      </c>
      <c r="E251">
        <v>41.67</v>
      </c>
      <c r="F251">
        <v>288.56</v>
      </c>
      <c r="G251">
        <f t="shared" si="3"/>
        <v>380.1095</v>
      </c>
    </row>
    <row r="252" customFormat="1" spans="1:7">
      <c r="A252">
        <v>2022</v>
      </c>
      <c r="B252" t="s">
        <v>25</v>
      </c>
      <c r="C252" t="s">
        <v>11</v>
      </c>
      <c r="D252">
        <v>7513</v>
      </c>
      <c r="E252">
        <v>33.6</v>
      </c>
      <c r="F252">
        <v>464.84</v>
      </c>
      <c r="G252">
        <f t="shared" si="3"/>
        <v>389.44</v>
      </c>
    </row>
    <row r="253" customFormat="1" spans="1:7">
      <c r="A253">
        <v>2022</v>
      </c>
      <c r="B253" t="s">
        <v>25</v>
      </c>
      <c r="C253" t="s">
        <v>12</v>
      </c>
      <c r="D253">
        <v>7514</v>
      </c>
      <c r="E253">
        <v>29.2</v>
      </c>
      <c r="F253">
        <v>247.66</v>
      </c>
      <c r="G253">
        <f t="shared" si="3"/>
        <v>394.55</v>
      </c>
    </row>
    <row r="254" customFormat="1" spans="1:7">
      <c r="A254">
        <v>2022</v>
      </c>
      <c r="B254" t="s">
        <v>25</v>
      </c>
      <c r="C254" t="s">
        <v>13</v>
      </c>
      <c r="D254">
        <v>7515</v>
      </c>
      <c r="E254">
        <v>26.82</v>
      </c>
      <c r="F254">
        <v>117.7</v>
      </c>
      <c r="G254">
        <f t="shared" si="3"/>
        <v>397.337</v>
      </c>
    </row>
    <row r="255" customFormat="1" spans="1:7">
      <c r="A255">
        <v>2022</v>
      </c>
      <c r="B255" t="s">
        <v>25</v>
      </c>
      <c r="C255" t="s">
        <v>14</v>
      </c>
      <c r="D255">
        <v>7516</v>
      </c>
      <c r="E255">
        <v>41.39</v>
      </c>
      <c r="F255">
        <v>393.99</v>
      </c>
      <c r="G255">
        <f t="shared" si="3"/>
        <v>380.6315</v>
      </c>
    </row>
    <row r="256" customFormat="1" spans="1:7">
      <c r="A256">
        <v>2022</v>
      </c>
      <c r="B256" t="s">
        <v>25</v>
      </c>
      <c r="C256" t="s">
        <v>15</v>
      </c>
      <c r="D256">
        <v>7517</v>
      </c>
      <c r="E256">
        <v>35.57</v>
      </c>
      <c r="F256">
        <v>119.58</v>
      </c>
      <c r="G256">
        <f t="shared" si="3"/>
        <v>387.3745</v>
      </c>
    </row>
    <row r="257" customFormat="1" spans="1:7">
      <c r="A257">
        <v>2022</v>
      </c>
      <c r="B257" t="s">
        <v>25</v>
      </c>
      <c r="C257" t="s">
        <v>16</v>
      </c>
      <c r="D257">
        <v>7518</v>
      </c>
      <c r="E257">
        <v>42.2</v>
      </c>
      <c r="F257">
        <v>227.11</v>
      </c>
      <c r="G257">
        <f t="shared" si="3"/>
        <v>379.8</v>
      </c>
    </row>
    <row r="258" customFormat="1" spans="1:7">
      <c r="A258">
        <v>2022</v>
      </c>
      <c r="B258" t="s">
        <v>25</v>
      </c>
      <c r="C258" t="s">
        <v>17</v>
      </c>
      <c r="D258">
        <v>7519</v>
      </c>
      <c r="E258">
        <v>46.13</v>
      </c>
      <c r="F258">
        <v>447.96</v>
      </c>
      <c r="G258">
        <f t="shared" si="3"/>
        <v>375.3305</v>
      </c>
    </row>
    <row r="259" customFormat="1" spans="1:7">
      <c r="A259">
        <v>2022</v>
      </c>
      <c r="B259" t="s">
        <v>25</v>
      </c>
      <c r="C259" t="s">
        <v>8</v>
      </c>
      <c r="D259">
        <v>7520</v>
      </c>
      <c r="E259">
        <v>34.69</v>
      </c>
      <c r="F259">
        <v>358.79</v>
      </c>
      <c r="G259">
        <f t="shared" si="3"/>
        <v>388.5365</v>
      </c>
    </row>
    <row r="260" customFormat="1" spans="1:7">
      <c r="A260">
        <v>2022</v>
      </c>
      <c r="B260" t="s">
        <v>25</v>
      </c>
      <c r="C260" t="s">
        <v>9</v>
      </c>
      <c r="D260">
        <v>7521</v>
      </c>
      <c r="E260">
        <v>49.22</v>
      </c>
      <c r="F260">
        <v>203.03</v>
      </c>
      <c r="G260">
        <f t="shared" si="3"/>
        <v>371.877</v>
      </c>
    </row>
    <row r="261" customFormat="1" spans="1:7">
      <c r="A261">
        <v>2022</v>
      </c>
      <c r="B261" t="s">
        <v>25</v>
      </c>
      <c r="C261" t="s">
        <v>10</v>
      </c>
      <c r="D261">
        <v>7522</v>
      </c>
      <c r="E261">
        <v>34.32</v>
      </c>
      <c r="F261">
        <v>77.55</v>
      </c>
      <c r="G261">
        <f t="shared" ref="G261:G324" si="4">52.43+(0.05*D261)-(1.15*E261)</f>
        <v>389.062</v>
      </c>
    </row>
    <row r="262" customFormat="1" spans="1:7">
      <c r="A262">
        <v>2022</v>
      </c>
      <c r="B262" t="s">
        <v>25</v>
      </c>
      <c r="C262" t="s">
        <v>11</v>
      </c>
      <c r="D262">
        <v>7523</v>
      </c>
      <c r="E262">
        <v>35.47</v>
      </c>
      <c r="F262">
        <v>281.11</v>
      </c>
      <c r="G262">
        <f t="shared" si="4"/>
        <v>387.7895</v>
      </c>
    </row>
    <row r="263" customFormat="1" spans="1:7">
      <c r="A263">
        <v>2022</v>
      </c>
      <c r="B263" t="s">
        <v>25</v>
      </c>
      <c r="C263" t="s">
        <v>12</v>
      </c>
      <c r="D263">
        <v>7524</v>
      </c>
      <c r="E263">
        <v>32.19</v>
      </c>
      <c r="F263">
        <v>370.08</v>
      </c>
      <c r="G263">
        <f t="shared" si="4"/>
        <v>391.6115</v>
      </c>
    </row>
    <row r="264" customFormat="1" spans="1:7">
      <c r="A264">
        <v>2022</v>
      </c>
      <c r="B264" t="s">
        <v>25</v>
      </c>
      <c r="C264" t="s">
        <v>13</v>
      </c>
      <c r="D264">
        <v>7525</v>
      </c>
      <c r="E264">
        <v>13.64</v>
      </c>
      <c r="F264">
        <v>356.61</v>
      </c>
      <c r="G264">
        <f t="shared" si="4"/>
        <v>412.994</v>
      </c>
    </row>
    <row r="265" customFormat="1" spans="1:7">
      <c r="A265">
        <v>2022</v>
      </c>
      <c r="B265" t="s">
        <v>25</v>
      </c>
      <c r="C265" t="s">
        <v>14</v>
      </c>
      <c r="D265">
        <v>7526</v>
      </c>
      <c r="E265">
        <v>39.06</v>
      </c>
      <c r="F265">
        <v>432.01</v>
      </c>
      <c r="G265">
        <f t="shared" si="4"/>
        <v>383.811</v>
      </c>
    </row>
    <row r="266" customFormat="1" spans="1:7">
      <c r="A266">
        <v>2022</v>
      </c>
      <c r="B266" t="s">
        <v>25</v>
      </c>
      <c r="C266" t="s">
        <v>15</v>
      </c>
      <c r="D266">
        <v>7527</v>
      </c>
      <c r="E266">
        <v>31.9</v>
      </c>
      <c r="F266">
        <v>410.26</v>
      </c>
      <c r="G266">
        <f t="shared" si="4"/>
        <v>392.095</v>
      </c>
    </row>
    <row r="267" customFormat="1" spans="1:7">
      <c r="A267">
        <v>2022</v>
      </c>
      <c r="B267" t="s">
        <v>25</v>
      </c>
      <c r="C267" t="s">
        <v>16</v>
      </c>
      <c r="D267">
        <v>7528</v>
      </c>
      <c r="E267">
        <v>28.04</v>
      </c>
      <c r="F267">
        <v>313.82</v>
      </c>
      <c r="G267">
        <f t="shared" si="4"/>
        <v>396.584</v>
      </c>
    </row>
    <row r="268" customFormat="1" spans="1:7">
      <c r="A268">
        <v>2022</v>
      </c>
      <c r="B268" t="s">
        <v>25</v>
      </c>
      <c r="C268" t="s">
        <v>17</v>
      </c>
      <c r="D268">
        <v>7529</v>
      </c>
      <c r="E268">
        <v>46.42</v>
      </c>
      <c r="F268">
        <v>460.27</v>
      </c>
      <c r="G268">
        <f t="shared" si="4"/>
        <v>375.497</v>
      </c>
    </row>
    <row r="269" customFormat="1" spans="1:7">
      <c r="A269">
        <v>2022</v>
      </c>
      <c r="B269" t="s">
        <v>25</v>
      </c>
      <c r="C269" t="s">
        <v>8</v>
      </c>
      <c r="D269">
        <v>7530</v>
      </c>
      <c r="E269">
        <v>21.92</v>
      </c>
      <c r="F269">
        <v>468.16</v>
      </c>
      <c r="G269">
        <f t="shared" si="4"/>
        <v>403.722</v>
      </c>
    </row>
    <row r="270" customFormat="1" spans="1:7">
      <c r="A270">
        <v>2022</v>
      </c>
      <c r="B270" t="s">
        <v>25</v>
      </c>
      <c r="C270" t="s">
        <v>9</v>
      </c>
      <c r="D270">
        <v>7531</v>
      </c>
      <c r="E270">
        <v>30.94</v>
      </c>
      <c r="F270">
        <v>428.3</v>
      </c>
      <c r="G270">
        <f t="shared" si="4"/>
        <v>393.399</v>
      </c>
    </row>
    <row r="271" customFormat="1" spans="1:7">
      <c r="A271">
        <v>2022</v>
      </c>
      <c r="B271" t="s">
        <v>25</v>
      </c>
      <c r="C271" t="s">
        <v>10</v>
      </c>
      <c r="D271">
        <v>7532</v>
      </c>
      <c r="E271">
        <v>37.91</v>
      </c>
      <c r="F271">
        <v>158.61</v>
      </c>
      <c r="G271">
        <f t="shared" si="4"/>
        <v>385.4335</v>
      </c>
    </row>
    <row r="272" customFormat="1" spans="1:7">
      <c r="A272">
        <v>2022</v>
      </c>
      <c r="B272" t="s">
        <v>26</v>
      </c>
      <c r="C272" t="s">
        <v>11</v>
      </c>
      <c r="D272">
        <v>7533</v>
      </c>
      <c r="E272">
        <v>41.86</v>
      </c>
      <c r="F272">
        <v>90.04</v>
      </c>
      <c r="G272">
        <f t="shared" si="4"/>
        <v>380.941</v>
      </c>
    </row>
    <row r="273" customFormat="1" spans="1:7">
      <c r="A273">
        <v>2022</v>
      </c>
      <c r="B273" t="s">
        <v>26</v>
      </c>
      <c r="C273" t="s">
        <v>12</v>
      </c>
      <c r="D273">
        <v>7534</v>
      </c>
      <c r="E273">
        <v>28.37</v>
      </c>
      <c r="F273">
        <v>251.43</v>
      </c>
      <c r="G273">
        <f t="shared" si="4"/>
        <v>396.5045</v>
      </c>
    </row>
    <row r="274" customFormat="1" spans="1:7">
      <c r="A274">
        <v>2022</v>
      </c>
      <c r="B274" t="s">
        <v>26</v>
      </c>
      <c r="C274" t="s">
        <v>13</v>
      </c>
      <c r="D274">
        <v>7535</v>
      </c>
      <c r="E274">
        <v>43.68</v>
      </c>
      <c r="F274">
        <v>120.78</v>
      </c>
      <c r="G274">
        <f t="shared" si="4"/>
        <v>378.948</v>
      </c>
    </row>
    <row r="275" customFormat="1" spans="1:7">
      <c r="A275">
        <v>2022</v>
      </c>
      <c r="B275" t="s">
        <v>26</v>
      </c>
      <c r="C275" t="s">
        <v>14</v>
      </c>
      <c r="D275">
        <v>7536</v>
      </c>
      <c r="E275">
        <v>40.76</v>
      </c>
      <c r="F275">
        <v>150.07</v>
      </c>
      <c r="G275">
        <f t="shared" si="4"/>
        <v>382.356</v>
      </c>
    </row>
    <row r="276" customFormat="1" spans="1:7">
      <c r="A276">
        <v>2022</v>
      </c>
      <c r="B276" t="s">
        <v>26</v>
      </c>
      <c r="C276" t="s">
        <v>15</v>
      </c>
      <c r="D276">
        <v>7537</v>
      </c>
      <c r="E276">
        <v>12.65</v>
      </c>
      <c r="F276">
        <v>256.72</v>
      </c>
      <c r="G276">
        <f t="shared" si="4"/>
        <v>414.7325</v>
      </c>
    </row>
    <row r="277" customFormat="1" spans="1:7">
      <c r="A277">
        <v>2022</v>
      </c>
      <c r="B277" t="s">
        <v>26</v>
      </c>
      <c r="C277" t="s">
        <v>16</v>
      </c>
      <c r="D277">
        <v>7538</v>
      </c>
      <c r="E277">
        <v>11.83</v>
      </c>
      <c r="F277">
        <v>126.54</v>
      </c>
      <c r="G277">
        <f t="shared" si="4"/>
        <v>415.7255</v>
      </c>
    </row>
    <row r="278" customFormat="1" spans="1:7">
      <c r="A278">
        <v>2022</v>
      </c>
      <c r="B278" t="s">
        <v>26</v>
      </c>
      <c r="C278" t="s">
        <v>17</v>
      </c>
      <c r="D278">
        <v>7539</v>
      </c>
      <c r="E278">
        <v>34.83</v>
      </c>
      <c r="F278">
        <v>102.28</v>
      </c>
      <c r="G278">
        <f t="shared" si="4"/>
        <v>389.3255</v>
      </c>
    </row>
    <row r="279" customFormat="1" spans="1:7">
      <c r="A279">
        <v>2022</v>
      </c>
      <c r="B279" t="s">
        <v>26</v>
      </c>
      <c r="C279" t="s">
        <v>8</v>
      </c>
      <c r="D279">
        <v>7540</v>
      </c>
      <c r="E279">
        <v>23.9</v>
      </c>
      <c r="F279">
        <v>246.58</v>
      </c>
      <c r="G279">
        <f t="shared" si="4"/>
        <v>401.945</v>
      </c>
    </row>
    <row r="280" customFormat="1" spans="1:7">
      <c r="A280">
        <v>2022</v>
      </c>
      <c r="B280" t="s">
        <v>26</v>
      </c>
      <c r="C280" t="s">
        <v>9</v>
      </c>
      <c r="D280">
        <v>7541</v>
      </c>
      <c r="E280">
        <v>18.37</v>
      </c>
      <c r="F280">
        <v>140.27</v>
      </c>
      <c r="G280">
        <f t="shared" si="4"/>
        <v>408.3545</v>
      </c>
    </row>
    <row r="281" customFormat="1" spans="1:7">
      <c r="A281">
        <v>2022</v>
      </c>
      <c r="B281" t="s">
        <v>26</v>
      </c>
      <c r="C281" t="s">
        <v>10</v>
      </c>
      <c r="D281">
        <v>7542</v>
      </c>
      <c r="E281">
        <v>33.19</v>
      </c>
      <c r="F281">
        <v>341.67</v>
      </c>
      <c r="G281">
        <f t="shared" si="4"/>
        <v>391.3615</v>
      </c>
    </row>
    <row r="282" customFormat="1" spans="1:7">
      <c r="A282">
        <v>2022</v>
      </c>
      <c r="B282" t="s">
        <v>26</v>
      </c>
      <c r="C282" t="s">
        <v>11</v>
      </c>
      <c r="D282">
        <v>7543</v>
      </c>
      <c r="E282">
        <v>23.66</v>
      </c>
      <c r="F282">
        <v>101.68</v>
      </c>
      <c r="G282">
        <f t="shared" si="4"/>
        <v>402.371</v>
      </c>
    </row>
    <row r="283" customFormat="1" spans="1:7">
      <c r="A283">
        <v>2022</v>
      </c>
      <c r="B283" t="s">
        <v>26</v>
      </c>
      <c r="C283" t="s">
        <v>12</v>
      </c>
      <c r="D283">
        <v>7544</v>
      </c>
      <c r="E283">
        <v>31.49</v>
      </c>
      <c r="F283">
        <v>114.11</v>
      </c>
      <c r="G283">
        <f t="shared" si="4"/>
        <v>393.4165</v>
      </c>
    </row>
    <row r="284" customFormat="1" spans="1:7">
      <c r="A284">
        <v>2022</v>
      </c>
      <c r="B284" t="s">
        <v>26</v>
      </c>
      <c r="C284" t="s">
        <v>13</v>
      </c>
      <c r="D284">
        <v>7545</v>
      </c>
      <c r="E284">
        <v>28.4</v>
      </c>
      <c r="F284">
        <v>207.01</v>
      </c>
      <c r="G284">
        <f t="shared" si="4"/>
        <v>397.02</v>
      </c>
    </row>
    <row r="285" customFormat="1" spans="1:7">
      <c r="A285">
        <v>2022</v>
      </c>
      <c r="B285" t="s">
        <v>26</v>
      </c>
      <c r="C285" t="s">
        <v>14</v>
      </c>
      <c r="D285">
        <v>7546</v>
      </c>
      <c r="E285">
        <v>33.39</v>
      </c>
      <c r="F285">
        <v>367.1</v>
      </c>
      <c r="G285">
        <f t="shared" si="4"/>
        <v>391.3315</v>
      </c>
    </row>
    <row r="286" customFormat="1" spans="1:7">
      <c r="A286">
        <v>2022</v>
      </c>
      <c r="B286" t="s">
        <v>26</v>
      </c>
      <c r="C286" t="s">
        <v>15</v>
      </c>
      <c r="D286">
        <v>7547</v>
      </c>
      <c r="E286">
        <v>26.01</v>
      </c>
      <c r="F286">
        <v>117.3</v>
      </c>
      <c r="G286">
        <f t="shared" si="4"/>
        <v>399.8685</v>
      </c>
    </row>
    <row r="287" customFormat="1" spans="1:7">
      <c r="A287">
        <v>2022</v>
      </c>
      <c r="B287" t="s">
        <v>26</v>
      </c>
      <c r="C287" t="s">
        <v>16</v>
      </c>
      <c r="D287">
        <v>7548</v>
      </c>
      <c r="E287">
        <v>37.91</v>
      </c>
      <c r="F287">
        <v>181.81</v>
      </c>
      <c r="G287">
        <f t="shared" si="4"/>
        <v>386.2335</v>
      </c>
    </row>
    <row r="288" customFormat="1" spans="1:7">
      <c r="A288">
        <v>2022</v>
      </c>
      <c r="B288" t="s">
        <v>26</v>
      </c>
      <c r="C288" t="s">
        <v>17</v>
      </c>
      <c r="D288">
        <v>7549</v>
      </c>
      <c r="E288">
        <v>17.2</v>
      </c>
      <c r="F288">
        <v>243.47</v>
      </c>
      <c r="G288">
        <f t="shared" si="4"/>
        <v>410.1</v>
      </c>
    </row>
    <row r="289" customFormat="1" spans="1:7">
      <c r="A289">
        <v>2022</v>
      </c>
      <c r="B289" t="s">
        <v>26</v>
      </c>
      <c r="C289" t="s">
        <v>8</v>
      </c>
      <c r="D289">
        <v>7550</v>
      </c>
      <c r="E289">
        <v>37.86</v>
      </c>
      <c r="F289">
        <v>477.67</v>
      </c>
      <c r="G289">
        <f t="shared" si="4"/>
        <v>386.391</v>
      </c>
    </row>
    <row r="290" customFormat="1" spans="1:7">
      <c r="A290">
        <v>2022</v>
      </c>
      <c r="B290" t="s">
        <v>26</v>
      </c>
      <c r="C290" t="s">
        <v>9</v>
      </c>
      <c r="D290">
        <v>7551</v>
      </c>
      <c r="E290">
        <v>26.47</v>
      </c>
      <c r="F290">
        <v>147.29</v>
      </c>
      <c r="G290">
        <f t="shared" si="4"/>
        <v>399.5395</v>
      </c>
    </row>
    <row r="291" customFormat="1" spans="1:7">
      <c r="A291">
        <v>2022</v>
      </c>
      <c r="B291" t="s">
        <v>26</v>
      </c>
      <c r="C291" t="s">
        <v>10</v>
      </c>
      <c r="D291">
        <v>7552</v>
      </c>
      <c r="E291">
        <v>44.97</v>
      </c>
      <c r="F291">
        <v>334.88</v>
      </c>
      <c r="G291">
        <f t="shared" si="4"/>
        <v>378.3145</v>
      </c>
    </row>
    <row r="292" customFormat="1" spans="1:7">
      <c r="A292">
        <v>2022</v>
      </c>
      <c r="B292" t="s">
        <v>26</v>
      </c>
      <c r="C292" t="s">
        <v>11</v>
      </c>
      <c r="D292">
        <v>7553</v>
      </c>
      <c r="E292">
        <v>30.61</v>
      </c>
      <c r="F292">
        <v>395.64</v>
      </c>
      <c r="G292">
        <f t="shared" si="4"/>
        <v>394.8785</v>
      </c>
    </row>
    <row r="293" customFormat="1" spans="1:7">
      <c r="A293">
        <v>2022</v>
      </c>
      <c r="B293" t="s">
        <v>26</v>
      </c>
      <c r="C293" t="s">
        <v>12</v>
      </c>
      <c r="D293">
        <v>7554</v>
      </c>
      <c r="E293">
        <v>48.92</v>
      </c>
      <c r="F293">
        <v>96.88</v>
      </c>
      <c r="G293">
        <f t="shared" si="4"/>
        <v>373.872</v>
      </c>
    </row>
    <row r="294" customFormat="1" spans="1:7">
      <c r="A294">
        <v>2022</v>
      </c>
      <c r="B294" t="s">
        <v>26</v>
      </c>
      <c r="C294" t="s">
        <v>13</v>
      </c>
      <c r="D294">
        <v>7555</v>
      </c>
      <c r="E294">
        <v>34.08</v>
      </c>
      <c r="F294">
        <v>324.02</v>
      </c>
      <c r="G294">
        <f t="shared" si="4"/>
        <v>390.988</v>
      </c>
    </row>
    <row r="295" customFormat="1" spans="1:7">
      <c r="A295">
        <v>2022</v>
      </c>
      <c r="B295" t="s">
        <v>26</v>
      </c>
      <c r="C295" t="s">
        <v>14</v>
      </c>
      <c r="D295">
        <v>7556</v>
      </c>
      <c r="E295">
        <v>18.95</v>
      </c>
      <c r="F295">
        <v>199.14</v>
      </c>
      <c r="G295">
        <f t="shared" si="4"/>
        <v>408.4375</v>
      </c>
    </row>
    <row r="296" customFormat="1" spans="1:7">
      <c r="A296">
        <v>2022</v>
      </c>
      <c r="B296" t="s">
        <v>26</v>
      </c>
      <c r="C296" t="s">
        <v>15</v>
      </c>
      <c r="D296">
        <v>7557</v>
      </c>
      <c r="E296">
        <v>42.87</v>
      </c>
      <c r="F296">
        <v>130.95</v>
      </c>
      <c r="G296">
        <f t="shared" si="4"/>
        <v>380.9795</v>
      </c>
    </row>
    <row r="297" customFormat="1" spans="1:7">
      <c r="A297">
        <v>2022</v>
      </c>
      <c r="B297" t="s">
        <v>26</v>
      </c>
      <c r="C297" t="s">
        <v>16</v>
      </c>
      <c r="D297">
        <v>7558</v>
      </c>
      <c r="E297">
        <v>23.8</v>
      </c>
      <c r="F297">
        <v>291.54</v>
      </c>
      <c r="G297">
        <f t="shared" si="4"/>
        <v>402.96</v>
      </c>
    </row>
    <row r="298" customFormat="1" spans="1:7">
      <c r="A298">
        <v>2022</v>
      </c>
      <c r="B298" t="s">
        <v>26</v>
      </c>
      <c r="C298" t="s">
        <v>17</v>
      </c>
      <c r="D298">
        <v>7559</v>
      </c>
      <c r="E298">
        <v>23.9</v>
      </c>
      <c r="F298">
        <v>470.01</v>
      </c>
      <c r="G298">
        <f t="shared" si="4"/>
        <v>402.895</v>
      </c>
    </row>
    <row r="299" customFormat="1" spans="1:7">
      <c r="A299">
        <v>2022</v>
      </c>
      <c r="B299" t="s">
        <v>26</v>
      </c>
      <c r="C299" t="s">
        <v>8</v>
      </c>
      <c r="D299">
        <v>7560</v>
      </c>
      <c r="E299">
        <v>11.27</v>
      </c>
      <c r="F299">
        <v>305.22</v>
      </c>
      <c r="G299">
        <f t="shared" si="4"/>
        <v>417.4695</v>
      </c>
    </row>
    <row r="300" customFormat="1" spans="1:7">
      <c r="A300">
        <v>2022</v>
      </c>
      <c r="B300" t="s">
        <v>26</v>
      </c>
      <c r="C300" t="s">
        <v>9</v>
      </c>
      <c r="D300">
        <v>7561</v>
      </c>
      <c r="E300">
        <v>31.95</v>
      </c>
      <c r="F300">
        <v>105.72</v>
      </c>
      <c r="G300">
        <f t="shared" si="4"/>
        <v>393.7375</v>
      </c>
    </row>
    <row r="301" customFormat="1" spans="1:7">
      <c r="A301">
        <v>2022</v>
      </c>
      <c r="B301" t="s">
        <v>26</v>
      </c>
      <c r="C301" t="s">
        <v>10</v>
      </c>
      <c r="D301">
        <v>7562</v>
      </c>
      <c r="E301">
        <v>31.38</v>
      </c>
      <c r="F301">
        <v>233.18</v>
      </c>
      <c r="G301">
        <f t="shared" si="4"/>
        <v>394.443</v>
      </c>
    </row>
    <row r="302" customFormat="1" spans="1:7">
      <c r="A302">
        <v>2022</v>
      </c>
      <c r="B302" t="s">
        <v>26</v>
      </c>
      <c r="C302" t="s">
        <v>11</v>
      </c>
      <c r="D302">
        <v>7563</v>
      </c>
      <c r="E302">
        <v>24.24</v>
      </c>
      <c r="F302">
        <v>460.21</v>
      </c>
      <c r="G302">
        <f t="shared" si="4"/>
        <v>402.704</v>
      </c>
    </row>
    <row r="303" customFormat="1" spans="1:7">
      <c r="A303">
        <v>2022</v>
      </c>
      <c r="B303" t="s">
        <v>27</v>
      </c>
      <c r="C303" t="s">
        <v>12</v>
      </c>
      <c r="D303">
        <v>7564</v>
      </c>
      <c r="E303">
        <v>45.77</v>
      </c>
      <c r="F303">
        <v>2.19</v>
      </c>
      <c r="G303">
        <f t="shared" si="4"/>
        <v>377.9945</v>
      </c>
    </row>
    <row r="304" customFormat="1" spans="1:7">
      <c r="A304">
        <v>2022</v>
      </c>
      <c r="B304" t="s">
        <v>27</v>
      </c>
      <c r="C304" t="s">
        <v>13</v>
      </c>
      <c r="D304">
        <v>7565</v>
      </c>
      <c r="E304">
        <v>15.15</v>
      </c>
      <c r="F304">
        <v>178.23</v>
      </c>
      <c r="G304">
        <f t="shared" si="4"/>
        <v>413.2575</v>
      </c>
    </row>
    <row r="305" customFormat="1" spans="1:7">
      <c r="A305">
        <v>2022</v>
      </c>
      <c r="B305" t="s">
        <v>27</v>
      </c>
      <c r="C305" t="s">
        <v>14</v>
      </c>
      <c r="D305">
        <v>7566</v>
      </c>
      <c r="E305">
        <v>23.2</v>
      </c>
      <c r="F305">
        <v>140.24</v>
      </c>
      <c r="G305">
        <f t="shared" si="4"/>
        <v>404.05</v>
      </c>
    </row>
    <row r="306" customFormat="1" spans="1:7">
      <c r="A306">
        <v>2022</v>
      </c>
      <c r="B306" t="s">
        <v>27</v>
      </c>
      <c r="C306" t="s">
        <v>15</v>
      </c>
      <c r="D306">
        <v>7567</v>
      </c>
      <c r="E306">
        <v>22.86</v>
      </c>
      <c r="F306">
        <v>439.27</v>
      </c>
      <c r="G306">
        <f t="shared" si="4"/>
        <v>404.491</v>
      </c>
    </row>
    <row r="307" customFormat="1" spans="1:7">
      <c r="A307">
        <v>2022</v>
      </c>
      <c r="B307" t="s">
        <v>27</v>
      </c>
      <c r="C307" t="s">
        <v>16</v>
      </c>
      <c r="D307">
        <v>7568</v>
      </c>
      <c r="E307">
        <v>13.69</v>
      </c>
      <c r="F307">
        <v>465.08</v>
      </c>
      <c r="G307">
        <f t="shared" si="4"/>
        <v>415.0865</v>
      </c>
    </row>
    <row r="308" customFormat="1" spans="1:7">
      <c r="A308">
        <v>2022</v>
      </c>
      <c r="B308" t="s">
        <v>27</v>
      </c>
      <c r="C308" t="s">
        <v>17</v>
      </c>
      <c r="D308">
        <v>7569</v>
      </c>
      <c r="E308">
        <v>29.25</v>
      </c>
      <c r="F308">
        <v>459.83</v>
      </c>
      <c r="G308">
        <f t="shared" si="4"/>
        <v>397.2425</v>
      </c>
    </row>
    <row r="309" customFormat="1" spans="1:7">
      <c r="A309">
        <v>2022</v>
      </c>
      <c r="B309" t="s">
        <v>27</v>
      </c>
      <c r="C309" t="s">
        <v>8</v>
      </c>
      <c r="D309">
        <v>7570</v>
      </c>
      <c r="E309">
        <v>37.51</v>
      </c>
      <c r="F309">
        <v>439.89</v>
      </c>
      <c r="G309">
        <f t="shared" si="4"/>
        <v>387.7935</v>
      </c>
    </row>
    <row r="310" customFormat="1" spans="1:7">
      <c r="A310">
        <v>2022</v>
      </c>
      <c r="B310" t="s">
        <v>27</v>
      </c>
      <c r="C310" t="s">
        <v>9</v>
      </c>
      <c r="D310">
        <v>7571</v>
      </c>
      <c r="E310">
        <v>30.47</v>
      </c>
      <c r="F310">
        <v>359.96</v>
      </c>
      <c r="G310">
        <f t="shared" si="4"/>
        <v>395.9395</v>
      </c>
    </row>
    <row r="311" customFormat="1" spans="1:7">
      <c r="A311">
        <v>2022</v>
      </c>
      <c r="B311" t="s">
        <v>27</v>
      </c>
      <c r="C311" t="s">
        <v>10</v>
      </c>
      <c r="D311">
        <v>7572</v>
      </c>
      <c r="E311">
        <v>16.28</v>
      </c>
      <c r="F311">
        <v>317.57</v>
      </c>
      <c r="G311">
        <f t="shared" si="4"/>
        <v>412.308</v>
      </c>
    </row>
    <row r="312" customFormat="1" spans="1:7">
      <c r="A312">
        <v>2022</v>
      </c>
      <c r="B312" t="s">
        <v>27</v>
      </c>
      <c r="C312" t="s">
        <v>11</v>
      </c>
      <c r="D312">
        <v>7573</v>
      </c>
      <c r="E312">
        <v>25.09</v>
      </c>
      <c r="F312">
        <v>224.78</v>
      </c>
      <c r="G312">
        <f t="shared" si="4"/>
        <v>402.2265</v>
      </c>
    </row>
    <row r="313" customFormat="1" spans="1:7">
      <c r="A313">
        <v>2022</v>
      </c>
      <c r="B313" t="s">
        <v>27</v>
      </c>
      <c r="C313" t="s">
        <v>12</v>
      </c>
      <c r="D313">
        <v>7574</v>
      </c>
      <c r="E313">
        <v>10.1</v>
      </c>
      <c r="F313">
        <v>110.36</v>
      </c>
      <c r="G313">
        <f t="shared" si="4"/>
        <v>419.515</v>
      </c>
    </row>
    <row r="314" customFormat="1" spans="1:7">
      <c r="A314">
        <v>2022</v>
      </c>
      <c r="B314" t="s">
        <v>27</v>
      </c>
      <c r="C314" t="s">
        <v>13</v>
      </c>
      <c r="D314">
        <v>7575</v>
      </c>
      <c r="E314">
        <v>44.73</v>
      </c>
      <c r="F314">
        <v>365.54</v>
      </c>
      <c r="G314">
        <f t="shared" si="4"/>
        <v>379.7405</v>
      </c>
    </row>
    <row r="315" customFormat="1" spans="1:7">
      <c r="A315">
        <v>2022</v>
      </c>
      <c r="B315" t="s">
        <v>27</v>
      </c>
      <c r="C315" t="s">
        <v>14</v>
      </c>
      <c r="D315">
        <v>7576</v>
      </c>
      <c r="E315">
        <v>13.38</v>
      </c>
      <c r="F315">
        <v>181.12</v>
      </c>
      <c r="G315">
        <f t="shared" si="4"/>
        <v>415.843</v>
      </c>
    </row>
    <row r="316" customFormat="1" spans="1:7">
      <c r="A316">
        <v>2022</v>
      </c>
      <c r="B316" t="s">
        <v>27</v>
      </c>
      <c r="C316" t="s">
        <v>15</v>
      </c>
      <c r="D316">
        <v>7577</v>
      </c>
      <c r="E316">
        <v>33.89</v>
      </c>
      <c r="F316">
        <v>494.73</v>
      </c>
      <c r="G316">
        <f t="shared" si="4"/>
        <v>392.3065</v>
      </c>
    </row>
    <row r="317" customFormat="1" spans="1:7">
      <c r="A317">
        <v>2022</v>
      </c>
      <c r="B317" t="s">
        <v>27</v>
      </c>
      <c r="C317" t="s">
        <v>16</v>
      </c>
      <c r="D317">
        <v>7578</v>
      </c>
      <c r="E317">
        <v>49.45</v>
      </c>
      <c r="F317">
        <v>402.03</v>
      </c>
      <c r="G317">
        <f t="shared" si="4"/>
        <v>374.4625</v>
      </c>
    </row>
    <row r="318" customFormat="1" spans="1:7">
      <c r="A318">
        <v>2022</v>
      </c>
      <c r="B318" t="s">
        <v>27</v>
      </c>
      <c r="C318" t="s">
        <v>17</v>
      </c>
      <c r="D318">
        <v>7579</v>
      </c>
      <c r="E318">
        <v>31.46</v>
      </c>
      <c r="F318">
        <v>340.06</v>
      </c>
      <c r="G318">
        <f t="shared" si="4"/>
        <v>395.201</v>
      </c>
    </row>
    <row r="319" customFormat="1" spans="1:7">
      <c r="A319">
        <v>2022</v>
      </c>
      <c r="B319" t="s">
        <v>28</v>
      </c>
      <c r="C319" t="s">
        <v>8</v>
      </c>
      <c r="D319">
        <v>7580</v>
      </c>
      <c r="E319">
        <v>46.96</v>
      </c>
      <c r="F319">
        <v>190.66</v>
      </c>
      <c r="G319">
        <f t="shared" si="4"/>
        <v>377.426</v>
      </c>
    </row>
    <row r="320" customFormat="1" spans="1:7">
      <c r="A320">
        <v>2022</v>
      </c>
      <c r="B320" t="s">
        <v>28</v>
      </c>
      <c r="C320" t="s">
        <v>9</v>
      </c>
      <c r="D320">
        <v>7581</v>
      </c>
      <c r="E320">
        <v>19.44</v>
      </c>
      <c r="F320">
        <v>465.16</v>
      </c>
      <c r="G320">
        <f t="shared" si="4"/>
        <v>409.124</v>
      </c>
    </row>
    <row r="321" customFormat="1" spans="1:7">
      <c r="A321">
        <v>2022</v>
      </c>
      <c r="B321" t="s">
        <v>28</v>
      </c>
      <c r="C321" t="s">
        <v>10</v>
      </c>
      <c r="D321">
        <v>7582</v>
      </c>
      <c r="E321">
        <v>40.4</v>
      </c>
      <c r="F321">
        <v>258.41</v>
      </c>
      <c r="G321">
        <f t="shared" si="4"/>
        <v>385.07</v>
      </c>
    </row>
    <row r="322" customFormat="1" spans="1:7">
      <c r="A322">
        <v>2022</v>
      </c>
      <c r="B322" t="s">
        <v>28</v>
      </c>
      <c r="C322" t="s">
        <v>11</v>
      </c>
      <c r="D322">
        <v>7583</v>
      </c>
      <c r="E322">
        <v>31.25</v>
      </c>
      <c r="F322">
        <v>192.26</v>
      </c>
      <c r="G322">
        <f t="shared" si="4"/>
        <v>395.6425</v>
      </c>
    </row>
    <row r="323" customFormat="1" spans="1:7">
      <c r="A323">
        <v>2022</v>
      </c>
      <c r="B323" t="s">
        <v>28</v>
      </c>
      <c r="C323" t="s">
        <v>12</v>
      </c>
      <c r="D323">
        <v>7584</v>
      </c>
      <c r="E323">
        <v>38.82</v>
      </c>
      <c r="F323">
        <v>370.04</v>
      </c>
      <c r="G323">
        <f t="shared" si="4"/>
        <v>386.987</v>
      </c>
    </row>
    <row r="324" customFormat="1" spans="1:7">
      <c r="A324">
        <v>2022</v>
      </c>
      <c r="B324" t="s">
        <v>28</v>
      </c>
      <c r="C324" t="s">
        <v>13</v>
      </c>
      <c r="D324">
        <v>7585</v>
      </c>
      <c r="E324">
        <v>12.49</v>
      </c>
      <c r="F324">
        <v>489.64</v>
      </c>
      <c r="G324">
        <f t="shared" si="4"/>
        <v>417.3165</v>
      </c>
    </row>
    <row r="325" customFormat="1" spans="1:7">
      <c r="A325">
        <v>2022</v>
      </c>
      <c r="B325" t="s">
        <v>28</v>
      </c>
      <c r="C325" t="s">
        <v>14</v>
      </c>
      <c r="D325">
        <v>7586</v>
      </c>
      <c r="E325">
        <v>15.91</v>
      </c>
      <c r="F325">
        <v>311.4</v>
      </c>
      <c r="G325">
        <f t="shared" ref="G325:G349" si="5">52.43+(0.05*D325)-(1.15*E325)</f>
        <v>413.4335</v>
      </c>
    </row>
    <row r="326" customFormat="1" spans="1:7">
      <c r="A326">
        <v>2022</v>
      </c>
      <c r="B326" t="s">
        <v>28</v>
      </c>
      <c r="C326" t="s">
        <v>15</v>
      </c>
      <c r="D326">
        <v>7587</v>
      </c>
      <c r="E326">
        <v>15.32</v>
      </c>
      <c r="F326">
        <v>340.01</v>
      </c>
      <c r="G326">
        <f t="shared" si="5"/>
        <v>414.162</v>
      </c>
    </row>
    <row r="327" customFormat="1" spans="1:7">
      <c r="A327">
        <v>2022</v>
      </c>
      <c r="B327" t="s">
        <v>28</v>
      </c>
      <c r="C327" t="s">
        <v>16</v>
      </c>
      <c r="D327">
        <v>7588</v>
      </c>
      <c r="E327">
        <v>37.49</v>
      </c>
      <c r="F327">
        <v>348.49</v>
      </c>
      <c r="G327">
        <f t="shared" si="5"/>
        <v>388.7165</v>
      </c>
    </row>
    <row r="328" customFormat="1" spans="1:7">
      <c r="A328">
        <v>2022</v>
      </c>
      <c r="B328" t="s">
        <v>28</v>
      </c>
      <c r="C328" t="s">
        <v>17</v>
      </c>
      <c r="D328">
        <v>7589</v>
      </c>
      <c r="E328">
        <v>43.78</v>
      </c>
      <c r="F328">
        <v>337.42</v>
      </c>
      <c r="G328">
        <f t="shared" si="5"/>
        <v>381.533</v>
      </c>
    </row>
    <row r="329" customFormat="1" spans="1:7">
      <c r="A329">
        <v>2022</v>
      </c>
      <c r="B329" t="s">
        <v>28</v>
      </c>
      <c r="C329" t="s">
        <v>8</v>
      </c>
      <c r="D329">
        <v>7590</v>
      </c>
      <c r="E329">
        <v>39.98</v>
      </c>
      <c r="F329">
        <v>103.76</v>
      </c>
      <c r="G329">
        <f t="shared" si="5"/>
        <v>385.953</v>
      </c>
    </row>
    <row r="330" customFormat="1" spans="1:7">
      <c r="A330">
        <v>2022</v>
      </c>
      <c r="B330" t="s">
        <v>28</v>
      </c>
      <c r="C330" t="s">
        <v>9</v>
      </c>
      <c r="D330">
        <v>7591</v>
      </c>
      <c r="E330">
        <v>11.22</v>
      </c>
      <c r="F330">
        <v>308.72</v>
      </c>
      <c r="G330">
        <f t="shared" si="5"/>
        <v>419.077</v>
      </c>
    </row>
    <row r="331" customFormat="1" spans="1:7">
      <c r="A331">
        <v>2022</v>
      </c>
      <c r="B331" t="s">
        <v>28</v>
      </c>
      <c r="C331" t="s">
        <v>10</v>
      </c>
      <c r="D331">
        <v>7592</v>
      </c>
      <c r="E331">
        <v>44.69</v>
      </c>
      <c r="F331">
        <v>203</v>
      </c>
      <c r="G331">
        <f t="shared" si="5"/>
        <v>380.6365</v>
      </c>
    </row>
    <row r="332" customFormat="1" spans="1:7">
      <c r="A332">
        <v>2022</v>
      </c>
      <c r="B332" t="s">
        <v>28</v>
      </c>
      <c r="C332" t="s">
        <v>11</v>
      </c>
      <c r="D332">
        <v>7593</v>
      </c>
      <c r="E332">
        <v>24.17</v>
      </c>
      <c r="F332">
        <v>112.43</v>
      </c>
      <c r="G332">
        <f t="shared" si="5"/>
        <v>404.2845</v>
      </c>
    </row>
    <row r="333" customFormat="1" spans="1:7">
      <c r="A333">
        <v>2022</v>
      </c>
      <c r="B333" t="s">
        <v>28</v>
      </c>
      <c r="C333" t="s">
        <v>12</v>
      </c>
      <c r="D333">
        <v>7594</v>
      </c>
      <c r="E333">
        <v>25.89</v>
      </c>
      <c r="F333">
        <v>121.43</v>
      </c>
      <c r="G333">
        <f t="shared" si="5"/>
        <v>402.3565</v>
      </c>
    </row>
    <row r="334" customFormat="1" spans="1:7">
      <c r="A334">
        <v>2022</v>
      </c>
      <c r="B334" t="s">
        <v>28</v>
      </c>
      <c r="C334" t="s">
        <v>13</v>
      </c>
      <c r="D334">
        <v>7595</v>
      </c>
      <c r="E334">
        <v>14.19</v>
      </c>
      <c r="F334">
        <v>379.95</v>
      </c>
      <c r="G334">
        <f t="shared" si="5"/>
        <v>415.8615</v>
      </c>
    </row>
    <row r="335" customFormat="1" spans="1:7">
      <c r="A335">
        <v>2022</v>
      </c>
      <c r="B335" t="s">
        <v>28</v>
      </c>
      <c r="C335" t="s">
        <v>14</v>
      </c>
      <c r="D335">
        <v>7596</v>
      </c>
      <c r="E335">
        <v>39.5</v>
      </c>
      <c r="F335">
        <v>362.48</v>
      </c>
      <c r="G335">
        <f t="shared" si="5"/>
        <v>386.805</v>
      </c>
    </row>
    <row r="336" customFormat="1" spans="1:7">
      <c r="A336">
        <v>2022</v>
      </c>
      <c r="B336" t="s">
        <v>28</v>
      </c>
      <c r="C336" t="s">
        <v>15</v>
      </c>
      <c r="D336">
        <v>7597</v>
      </c>
      <c r="E336">
        <v>17.29</v>
      </c>
      <c r="F336">
        <v>470.74</v>
      </c>
      <c r="G336">
        <f t="shared" si="5"/>
        <v>412.3965</v>
      </c>
    </row>
    <row r="337" customFormat="1" spans="1:7">
      <c r="A337">
        <v>2022</v>
      </c>
      <c r="B337" t="s">
        <v>28</v>
      </c>
      <c r="C337" t="s">
        <v>16</v>
      </c>
      <c r="D337">
        <v>7598</v>
      </c>
      <c r="E337">
        <v>32.56</v>
      </c>
      <c r="F337">
        <v>305.26</v>
      </c>
      <c r="G337">
        <f t="shared" si="5"/>
        <v>394.886</v>
      </c>
    </row>
    <row r="338" customFormat="1" spans="1:7">
      <c r="A338">
        <v>2022</v>
      </c>
      <c r="B338" t="s">
        <v>28</v>
      </c>
      <c r="C338" t="s">
        <v>17</v>
      </c>
      <c r="D338">
        <v>7599</v>
      </c>
      <c r="E338">
        <v>43.63</v>
      </c>
      <c r="F338">
        <v>241.35</v>
      </c>
      <c r="G338">
        <f t="shared" si="5"/>
        <v>382.2055</v>
      </c>
    </row>
    <row r="339" customFormat="1" spans="1:7">
      <c r="A339">
        <v>2022</v>
      </c>
      <c r="B339" t="s">
        <v>28</v>
      </c>
      <c r="C339" t="s">
        <v>8</v>
      </c>
      <c r="D339">
        <v>7600</v>
      </c>
      <c r="E339">
        <v>13.57</v>
      </c>
      <c r="F339">
        <v>213.14</v>
      </c>
      <c r="G339">
        <f t="shared" si="5"/>
        <v>416.8245</v>
      </c>
    </row>
    <row r="340" customFormat="1" spans="1:7">
      <c r="A340">
        <v>2022</v>
      </c>
      <c r="B340" t="s">
        <v>28</v>
      </c>
      <c r="C340" t="s">
        <v>9</v>
      </c>
      <c r="D340">
        <v>7601</v>
      </c>
      <c r="E340">
        <v>31.41</v>
      </c>
      <c r="F340">
        <v>237.07</v>
      </c>
      <c r="G340">
        <f t="shared" si="5"/>
        <v>396.3585</v>
      </c>
    </row>
    <row r="341" customFormat="1" spans="1:7">
      <c r="A341">
        <v>2022</v>
      </c>
      <c r="B341" t="s">
        <v>28</v>
      </c>
      <c r="C341" t="s">
        <v>10</v>
      </c>
      <c r="D341">
        <v>7602</v>
      </c>
      <c r="E341">
        <v>19.33</v>
      </c>
      <c r="F341">
        <v>359.41</v>
      </c>
      <c r="G341">
        <f t="shared" si="5"/>
        <v>410.3005</v>
      </c>
    </row>
    <row r="342" customFormat="1" spans="1:7">
      <c r="A342">
        <v>2022</v>
      </c>
      <c r="B342" t="s">
        <v>28</v>
      </c>
      <c r="C342" t="s">
        <v>11</v>
      </c>
      <c r="D342">
        <v>7603</v>
      </c>
      <c r="E342">
        <v>23.72</v>
      </c>
      <c r="F342">
        <v>225.18</v>
      </c>
      <c r="G342">
        <f t="shared" si="5"/>
        <v>405.302</v>
      </c>
    </row>
    <row r="343" customFormat="1" spans="1:7">
      <c r="A343">
        <v>2022</v>
      </c>
      <c r="B343" t="s">
        <v>28</v>
      </c>
      <c r="C343" t="s">
        <v>12</v>
      </c>
      <c r="D343">
        <v>7604</v>
      </c>
      <c r="E343">
        <v>28.96</v>
      </c>
      <c r="F343">
        <v>88.21</v>
      </c>
      <c r="G343">
        <f t="shared" si="5"/>
        <v>399.326</v>
      </c>
    </row>
    <row r="344" customFormat="1" spans="1:7">
      <c r="A344">
        <v>2022</v>
      </c>
      <c r="B344" t="s">
        <v>28</v>
      </c>
      <c r="C344" t="s">
        <v>13</v>
      </c>
      <c r="D344">
        <v>7605</v>
      </c>
      <c r="E344">
        <v>24.2</v>
      </c>
      <c r="F344">
        <v>325.42</v>
      </c>
      <c r="G344">
        <f t="shared" si="5"/>
        <v>404.85</v>
      </c>
    </row>
    <row r="345" customFormat="1" spans="1:7">
      <c r="A345">
        <v>2022</v>
      </c>
      <c r="B345" t="s">
        <v>28</v>
      </c>
      <c r="C345" t="s">
        <v>14</v>
      </c>
      <c r="D345">
        <v>7606</v>
      </c>
      <c r="E345">
        <v>35.95</v>
      </c>
      <c r="F345">
        <v>334.97</v>
      </c>
      <c r="G345">
        <f t="shared" si="5"/>
        <v>391.3875</v>
      </c>
    </row>
    <row r="346" customFormat="1" spans="1:7">
      <c r="A346">
        <v>2022</v>
      </c>
      <c r="B346" t="s">
        <v>28</v>
      </c>
      <c r="C346" t="s">
        <v>15</v>
      </c>
      <c r="D346">
        <v>7607</v>
      </c>
      <c r="E346">
        <v>29.18</v>
      </c>
      <c r="F346">
        <v>298.36</v>
      </c>
      <c r="G346">
        <f t="shared" si="5"/>
        <v>399.223</v>
      </c>
    </row>
    <row r="347" customFormat="1" spans="1:7">
      <c r="A347">
        <v>2022</v>
      </c>
      <c r="B347" t="s">
        <v>28</v>
      </c>
      <c r="C347" t="s">
        <v>16</v>
      </c>
      <c r="D347">
        <v>7608</v>
      </c>
      <c r="E347">
        <v>33.37</v>
      </c>
      <c r="F347">
        <v>95.44</v>
      </c>
      <c r="G347">
        <f t="shared" si="5"/>
        <v>394.4545</v>
      </c>
    </row>
    <row r="348" customFormat="1" spans="1:7">
      <c r="A348">
        <v>2022</v>
      </c>
      <c r="B348" t="s">
        <v>28</v>
      </c>
      <c r="C348" t="s">
        <v>17</v>
      </c>
      <c r="D348">
        <v>7609</v>
      </c>
      <c r="E348">
        <v>39.47</v>
      </c>
      <c r="F348">
        <v>401.9</v>
      </c>
      <c r="G348">
        <f t="shared" si="5"/>
        <v>387.4895</v>
      </c>
    </row>
    <row r="349" customFormat="1" spans="1:7">
      <c r="A349">
        <v>2022</v>
      </c>
      <c r="B349" t="s">
        <v>28</v>
      </c>
      <c r="C349" t="s">
        <v>8</v>
      </c>
      <c r="D349">
        <v>7610</v>
      </c>
      <c r="E349">
        <v>32.31</v>
      </c>
      <c r="F349">
        <v>278.63</v>
      </c>
      <c r="G349">
        <f t="shared" si="5"/>
        <v>395.7735</v>
      </c>
    </row>
  </sheetData>
  <pageMargins left="0.75" right="0.75" top="1" bottom="1" header="0.5" footer="0.5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7"/>
  <sheetViews>
    <sheetView zoomScale="85" zoomScaleNormal="85" topLeftCell="D1" workbookViewId="0">
      <selection activeCell="J13" sqref="J13"/>
    </sheetView>
  </sheetViews>
  <sheetFormatPr defaultColWidth="8.72727272727273" defaultRowHeight="14.5" outlineLevelCol="7"/>
  <cols>
    <col min="1" max="2" width="9"/>
    <col min="3" max="3" width="25.4545454545455" customWidth="1"/>
    <col min="4" max="4" width="15.1818181818182" customWidth="1"/>
    <col min="7" max="7" width="24.6" customWidth="1"/>
    <col min="8" max="8" width="28.0272727272727" customWidth="1"/>
    <col min="9" max="9" width="11.7272727272727"/>
  </cols>
  <sheetData>
    <row r="1" spans="1:8">
      <c r="A1" s="122" t="s">
        <v>2</v>
      </c>
      <c r="B1" s="122" t="s">
        <v>3</v>
      </c>
      <c r="C1" s="122" t="s">
        <v>50</v>
      </c>
      <c r="D1" s="127" t="s">
        <v>51</v>
      </c>
      <c r="E1" s="72"/>
      <c r="F1" s="128" t="s">
        <v>2</v>
      </c>
      <c r="G1" s="128" t="s">
        <v>52</v>
      </c>
      <c r="H1" s="128" t="s">
        <v>53</v>
      </c>
    </row>
    <row r="2" spans="1:8">
      <c r="A2" t="s">
        <v>7</v>
      </c>
      <c r="B2" t="s">
        <v>13</v>
      </c>
      <c r="C2">
        <v>416.07</v>
      </c>
      <c r="D2">
        <v>402.294</v>
      </c>
      <c r="F2" s="72" t="s">
        <v>54</v>
      </c>
      <c r="G2" s="72">
        <f>SUMIF($A:$A,"January",$C:$C)</f>
        <v>7180.04</v>
      </c>
      <c r="H2" s="72">
        <f>SUMIF($A:$A,"January",$D:$D)</f>
        <v>10049.8075</v>
      </c>
    </row>
    <row r="3" spans="1:8">
      <c r="A3" t="s">
        <v>7</v>
      </c>
      <c r="B3" t="s">
        <v>14</v>
      </c>
      <c r="C3">
        <v>91.93</v>
      </c>
      <c r="D3">
        <v>385.8875</v>
      </c>
      <c r="F3" s="72" t="s">
        <v>55</v>
      </c>
      <c r="G3" s="72">
        <f>SUMIF($A:$A,"February",$C:$C)</f>
        <v>8816.06</v>
      </c>
      <c r="H3" s="72">
        <f>SUMIF($A:$A,"February",$D:$D)</f>
        <v>10655.752</v>
      </c>
    </row>
    <row r="4" spans="1:8">
      <c r="A4" t="s">
        <v>7</v>
      </c>
      <c r="B4" t="s">
        <v>15</v>
      </c>
      <c r="C4">
        <v>255.73</v>
      </c>
      <c r="D4">
        <v>384.339</v>
      </c>
      <c r="F4" s="72" t="s">
        <v>56</v>
      </c>
      <c r="G4" s="72">
        <f>SUMIF($A:$A,"March",$C:$C)</f>
        <v>9888.57</v>
      </c>
      <c r="H4" s="72">
        <f>SUMIF($A:$A,"March",$D:$D)</f>
        <v>11940.872</v>
      </c>
    </row>
    <row r="5" spans="1:8">
      <c r="A5" t="s">
        <v>7</v>
      </c>
      <c r="B5" t="s">
        <v>16</v>
      </c>
      <c r="C5">
        <v>341.12</v>
      </c>
      <c r="D5">
        <v>370.106</v>
      </c>
      <c r="F5" s="72" t="s">
        <v>57</v>
      </c>
      <c r="G5" s="72">
        <f>SUMIF($A:$A,"April",$C:$C)</f>
        <v>9743.46</v>
      </c>
      <c r="H5" s="72">
        <f>SUMIF($A:$A,"April",$D:$D)</f>
        <v>11604.9015</v>
      </c>
    </row>
    <row r="6" spans="1:8">
      <c r="A6" t="s">
        <v>7</v>
      </c>
      <c r="B6" t="s">
        <v>17</v>
      </c>
      <c r="C6">
        <v>488.17</v>
      </c>
      <c r="D6">
        <v>392.8455</v>
      </c>
      <c r="F6" s="72" t="s">
        <v>21</v>
      </c>
      <c r="G6" s="72">
        <f>SUMIF($A:$A,"May",$C:$C)</f>
        <v>9161.56</v>
      </c>
      <c r="H6" s="72">
        <f>SUMIF($A:$A,"May",$D:$D)</f>
        <v>11861.3005</v>
      </c>
    </row>
    <row r="7" spans="1:8">
      <c r="A7" t="s">
        <v>7</v>
      </c>
      <c r="B7" t="s">
        <v>8</v>
      </c>
      <c r="C7">
        <v>159.28</v>
      </c>
      <c r="D7">
        <v>395.9545</v>
      </c>
      <c r="F7" s="72" t="s">
        <v>58</v>
      </c>
      <c r="G7" s="72">
        <f>SUMIF($A:$A,"June",$C:$C)</f>
        <v>8470.67</v>
      </c>
      <c r="H7" s="72">
        <f>SUMIF($A:$A,"June",$D:$D)</f>
        <v>11668.8935</v>
      </c>
    </row>
    <row r="8" spans="1:8">
      <c r="A8" t="s">
        <v>7</v>
      </c>
      <c r="B8" t="s">
        <v>9</v>
      </c>
      <c r="C8">
        <v>77.01</v>
      </c>
      <c r="D8">
        <v>400.7655</v>
      </c>
      <c r="F8" s="72" t="s">
        <v>59</v>
      </c>
      <c r="G8" s="72">
        <f>SUMIF($A:$A,"July",$C:$C)</f>
        <v>9337.71</v>
      </c>
      <c r="H8" s="72">
        <f>SUMIF($A:$A,"July",$D:$D)</f>
        <v>12202.974</v>
      </c>
    </row>
    <row r="9" spans="1:8">
      <c r="A9" t="s">
        <v>7</v>
      </c>
      <c r="B9" t="s">
        <v>10</v>
      </c>
      <c r="C9">
        <v>430.84</v>
      </c>
      <c r="D9">
        <v>384.8305</v>
      </c>
      <c r="F9" s="72" t="s">
        <v>60</v>
      </c>
      <c r="G9" s="72">
        <f>SUMIF($A:$A,"August",$C:$C)</f>
        <v>8697.73</v>
      </c>
      <c r="H9" s="72">
        <f>SUMIF($A:$A,"August",$D:$D)</f>
        <v>12217.881</v>
      </c>
    </row>
    <row r="10" spans="1:8">
      <c r="A10" t="s">
        <v>7</v>
      </c>
      <c r="B10" t="s">
        <v>11</v>
      </c>
      <c r="C10">
        <v>179.51</v>
      </c>
      <c r="D10">
        <v>372.909</v>
      </c>
      <c r="F10" s="72" t="s">
        <v>61</v>
      </c>
      <c r="G10" s="72">
        <f>SUMIF($A:$A,"September",$C:$C)</f>
        <v>9419.17</v>
      </c>
      <c r="H10" s="72">
        <f>SUMIF($A:$A,"September",$D:$D)</f>
        <v>11706.74</v>
      </c>
    </row>
    <row r="11" spans="1:8">
      <c r="A11" t="s">
        <v>7</v>
      </c>
      <c r="B11" t="s">
        <v>12</v>
      </c>
      <c r="C11">
        <v>386.66</v>
      </c>
      <c r="D11">
        <v>401.9505</v>
      </c>
      <c r="F11" s="72" t="s">
        <v>62</v>
      </c>
      <c r="G11" s="72">
        <f>SUMIF($A:$A,"October",$C:$C)</f>
        <v>7131.21</v>
      </c>
      <c r="H11" s="72">
        <f>SUMIF($A:$A,"October",$D:$D)</f>
        <v>12268.1445</v>
      </c>
    </row>
    <row r="12" spans="1:8">
      <c r="A12" t="s">
        <v>7</v>
      </c>
      <c r="B12" t="s">
        <v>13</v>
      </c>
      <c r="C12">
        <v>295.13</v>
      </c>
      <c r="D12">
        <v>362.5785</v>
      </c>
      <c r="F12" s="72" t="s">
        <v>63</v>
      </c>
      <c r="G12" s="72">
        <f>SUMIF($A:$A,"November",$C:$C)</f>
        <v>4920.88</v>
      </c>
      <c r="H12" s="72">
        <f>SUMIF($A:$A,"November",$D:$D)</f>
        <v>6387.458</v>
      </c>
    </row>
    <row r="13" spans="1:8">
      <c r="A13" t="s">
        <v>7</v>
      </c>
      <c r="B13" t="s">
        <v>14</v>
      </c>
      <c r="C13">
        <v>399.09</v>
      </c>
      <c r="D13">
        <v>384.3865</v>
      </c>
      <c r="F13" s="72" t="s">
        <v>64</v>
      </c>
      <c r="G13" s="72">
        <f>SUMIF($A:$A,"December",$C:$C)</f>
        <v>8770.34</v>
      </c>
      <c r="H13" s="72">
        <f>SUMIF($A:$A,"December",$D:$D)</f>
        <v>12355.1625</v>
      </c>
    </row>
    <row r="14" spans="1:8">
      <c r="A14" t="s">
        <v>7</v>
      </c>
      <c r="B14" t="s">
        <v>15</v>
      </c>
      <c r="C14">
        <v>152.33</v>
      </c>
      <c r="D14">
        <v>393.7515</v>
      </c>
    </row>
    <row r="15" spans="1:8">
      <c r="A15" t="s">
        <v>7</v>
      </c>
      <c r="B15" t="s">
        <v>16</v>
      </c>
      <c r="C15">
        <v>276.32</v>
      </c>
      <c r="D15">
        <v>400.5175</v>
      </c>
    </row>
    <row r="16" spans="1:8">
      <c r="A16" t="s">
        <v>7</v>
      </c>
      <c r="B16" t="s">
        <v>17</v>
      </c>
      <c r="C16">
        <v>300.81</v>
      </c>
      <c r="D16">
        <v>396.4735</v>
      </c>
    </row>
    <row r="17" spans="1:4">
      <c r="A17" t="s">
        <v>7</v>
      </c>
      <c r="B17" t="s">
        <v>8</v>
      </c>
      <c r="C17">
        <v>354.32</v>
      </c>
      <c r="D17">
        <v>361.943</v>
      </c>
    </row>
    <row r="18" spans="1:4">
      <c r="A18" t="s">
        <v>7</v>
      </c>
      <c r="B18" t="s">
        <v>9</v>
      </c>
      <c r="C18">
        <v>500.55</v>
      </c>
      <c r="D18">
        <v>375.6205</v>
      </c>
    </row>
    <row r="19" spans="1:4">
      <c r="A19" t="s">
        <v>7</v>
      </c>
      <c r="B19" t="s">
        <v>10</v>
      </c>
      <c r="C19">
        <v>203.91</v>
      </c>
      <c r="D19">
        <v>381.2595</v>
      </c>
    </row>
    <row r="20" spans="1:4">
      <c r="A20" t="s">
        <v>7</v>
      </c>
      <c r="B20" t="s">
        <v>11</v>
      </c>
      <c r="C20">
        <v>432.61</v>
      </c>
      <c r="D20">
        <v>374.858</v>
      </c>
    </row>
    <row r="21" spans="1:4">
      <c r="A21" t="s">
        <v>7</v>
      </c>
      <c r="B21" t="s">
        <v>12</v>
      </c>
      <c r="C21">
        <v>206.38</v>
      </c>
      <c r="D21">
        <v>385.0855</v>
      </c>
    </row>
    <row r="22" spans="1:4">
      <c r="A22" t="s">
        <v>7</v>
      </c>
      <c r="B22" t="s">
        <v>13</v>
      </c>
      <c r="C22">
        <v>195.63</v>
      </c>
      <c r="D22">
        <v>371.6</v>
      </c>
    </row>
    <row r="23" spans="1:4">
      <c r="A23" t="s">
        <v>7</v>
      </c>
      <c r="B23" t="s">
        <v>14</v>
      </c>
      <c r="C23">
        <v>90.89</v>
      </c>
      <c r="D23">
        <v>403.0335</v>
      </c>
    </row>
    <row r="24" spans="1:4">
      <c r="A24" t="s">
        <v>7</v>
      </c>
      <c r="B24" t="s">
        <v>15</v>
      </c>
      <c r="C24">
        <v>200.3</v>
      </c>
      <c r="D24">
        <v>379.244</v>
      </c>
    </row>
    <row r="25" spans="1:4">
      <c r="A25" t="s">
        <v>7</v>
      </c>
      <c r="B25" t="s">
        <v>16</v>
      </c>
      <c r="C25">
        <v>245.92</v>
      </c>
      <c r="D25">
        <v>398.0275</v>
      </c>
    </row>
    <row r="26" spans="1:4">
      <c r="A26" t="s">
        <v>7</v>
      </c>
      <c r="B26" t="s">
        <v>17</v>
      </c>
      <c r="C26">
        <v>315.35</v>
      </c>
      <c r="D26">
        <v>399.8485</v>
      </c>
    </row>
    <row r="27" spans="1:4">
      <c r="A27" t="s">
        <v>7</v>
      </c>
      <c r="B27" t="s">
        <v>8</v>
      </c>
      <c r="C27">
        <v>184.18</v>
      </c>
      <c r="D27">
        <v>389.698</v>
      </c>
    </row>
    <row r="28" spans="1:4">
      <c r="A28" t="s">
        <v>18</v>
      </c>
      <c r="B28" t="s">
        <v>9</v>
      </c>
      <c r="C28">
        <v>436.6</v>
      </c>
      <c r="D28">
        <v>401.2595</v>
      </c>
    </row>
    <row r="29" spans="1:4">
      <c r="A29" t="s">
        <v>18</v>
      </c>
      <c r="B29" t="s">
        <v>10</v>
      </c>
      <c r="C29">
        <v>131.87</v>
      </c>
      <c r="D29">
        <v>401.1945</v>
      </c>
    </row>
    <row r="30" spans="1:4">
      <c r="A30" t="s">
        <v>18</v>
      </c>
      <c r="B30" t="s">
        <v>11</v>
      </c>
      <c r="C30">
        <v>106.68</v>
      </c>
      <c r="D30">
        <v>391.251</v>
      </c>
    </row>
    <row r="31" spans="1:4">
      <c r="A31" t="s">
        <v>18</v>
      </c>
      <c r="B31" t="s">
        <v>12</v>
      </c>
      <c r="C31">
        <v>258.72</v>
      </c>
      <c r="D31">
        <v>360.573</v>
      </c>
    </row>
    <row r="32" spans="1:4">
      <c r="A32" t="s">
        <v>18</v>
      </c>
      <c r="B32" t="s">
        <v>13</v>
      </c>
      <c r="C32">
        <v>313.76</v>
      </c>
      <c r="D32">
        <v>397.6185</v>
      </c>
    </row>
    <row r="33" spans="1:4">
      <c r="A33" t="s">
        <v>18</v>
      </c>
      <c r="B33" t="s">
        <v>14</v>
      </c>
      <c r="C33">
        <v>541.61</v>
      </c>
      <c r="D33">
        <v>404.9365</v>
      </c>
    </row>
    <row r="34" spans="1:4">
      <c r="A34" t="s">
        <v>18</v>
      </c>
      <c r="B34" t="s">
        <v>15</v>
      </c>
      <c r="C34">
        <v>300.76</v>
      </c>
      <c r="D34">
        <v>370.6705</v>
      </c>
    </row>
    <row r="35" spans="1:4">
      <c r="A35" t="s">
        <v>18</v>
      </c>
      <c r="B35" t="s">
        <v>16</v>
      </c>
      <c r="C35">
        <v>536.67</v>
      </c>
      <c r="D35">
        <v>368.708</v>
      </c>
    </row>
    <row r="36" spans="1:4">
      <c r="A36" t="s">
        <v>18</v>
      </c>
      <c r="B36" t="s">
        <v>17</v>
      </c>
      <c r="C36">
        <v>480.94</v>
      </c>
      <c r="D36">
        <v>389.9525</v>
      </c>
    </row>
    <row r="37" spans="1:4">
      <c r="A37" t="s">
        <v>18</v>
      </c>
      <c r="B37" t="s">
        <v>8</v>
      </c>
      <c r="C37">
        <v>437.08</v>
      </c>
      <c r="D37">
        <v>384.5515</v>
      </c>
    </row>
    <row r="38" spans="1:4">
      <c r="A38" t="s">
        <v>18</v>
      </c>
      <c r="B38" t="s">
        <v>9</v>
      </c>
      <c r="C38">
        <v>190.6</v>
      </c>
      <c r="D38">
        <v>376.0915</v>
      </c>
    </row>
    <row r="39" spans="1:4">
      <c r="A39" t="s">
        <v>18</v>
      </c>
      <c r="B39" t="s">
        <v>10</v>
      </c>
      <c r="C39">
        <v>446.77</v>
      </c>
      <c r="D39">
        <v>403.822</v>
      </c>
    </row>
    <row r="40" spans="1:4">
      <c r="A40" t="s">
        <v>18</v>
      </c>
      <c r="B40" t="s">
        <v>11</v>
      </c>
      <c r="C40">
        <v>367.07</v>
      </c>
      <c r="D40">
        <v>362.4145</v>
      </c>
    </row>
    <row r="41" spans="1:4">
      <c r="A41" t="s">
        <v>18</v>
      </c>
      <c r="B41" t="s">
        <v>12</v>
      </c>
      <c r="C41">
        <v>333.42</v>
      </c>
      <c r="D41">
        <v>365.3395</v>
      </c>
    </row>
    <row r="42" spans="1:4">
      <c r="A42" t="s">
        <v>18</v>
      </c>
      <c r="B42" t="s">
        <v>13</v>
      </c>
      <c r="C42">
        <v>427.54</v>
      </c>
      <c r="D42">
        <v>394.174</v>
      </c>
    </row>
    <row r="43" spans="1:4">
      <c r="A43" t="s">
        <v>18</v>
      </c>
      <c r="B43" t="s">
        <v>14</v>
      </c>
      <c r="C43">
        <v>139.38</v>
      </c>
      <c r="D43">
        <v>405.5285</v>
      </c>
    </row>
    <row r="44" spans="1:4">
      <c r="A44" t="s">
        <v>18</v>
      </c>
      <c r="B44" t="s">
        <v>15</v>
      </c>
      <c r="C44">
        <v>450.71</v>
      </c>
      <c r="D44">
        <v>363.339</v>
      </c>
    </row>
    <row r="45" spans="1:4">
      <c r="A45" t="s">
        <v>18</v>
      </c>
      <c r="B45" t="s">
        <v>16</v>
      </c>
      <c r="C45">
        <v>233.14</v>
      </c>
      <c r="D45">
        <v>383.284</v>
      </c>
    </row>
    <row r="46" spans="1:4">
      <c r="A46" t="s">
        <v>18</v>
      </c>
      <c r="B46" t="s">
        <v>17</v>
      </c>
      <c r="C46">
        <v>151.31</v>
      </c>
      <c r="D46">
        <v>381.563</v>
      </c>
    </row>
    <row r="47" spans="1:4">
      <c r="A47" t="s">
        <v>18</v>
      </c>
      <c r="B47" t="s">
        <v>8</v>
      </c>
      <c r="C47">
        <v>267.58</v>
      </c>
      <c r="D47">
        <v>374.966</v>
      </c>
    </row>
    <row r="48" spans="1:4">
      <c r="A48" t="s">
        <v>18</v>
      </c>
      <c r="B48" t="s">
        <v>9</v>
      </c>
      <c r="C48">
        <v>448.95</v>
      </c>
      <c r="D48">
        <v>378.1555</v>
      </c>
    </row>
    <row r="49" spans="1:4">
      <c r="A49" t="s">
        <v>18</v>
      </c>
      <c r="B49" t="s">
        <v>10</v>
      </c>
      <c r="C49">
        <v>187.49</v>
      </c>
      <c r="D49">
        <v>363.106</v>
      </c>
    </row>
    <row r="50" spans="1:4">
      <c r="A50" t="s">
        <v>18</v>
      </c>
      <c r="B50" t="s">
        <v>11</v>
      </c>
      <c r="C50">
        <v>102.9</v>
      </c>
      <c r="D50">
        <v>363.1445</v>
      </c>
    </row>
    <row r="51" spans="1:4">
      <c r="A51" t="s">
        <v>18</v>
      </c>
      <c r="B51" t="s">
        <v>12</v>
      </c>
      <c r="C51">
        <v>251.59</v>
      </c>
      <c r="D51">
        <v>366.7365</v>
      </c>
    </row>
    <row r="52" spans="1:4">
      <c r="A52" t="s">
        <v>18</v>
      </c>
      <c r="B52" t="s">
        <v>13</v>
      </c>
      <c r="C52">
        <v>431.08</v>
      </c>
      <c r="D52">
        <v>377.401</v>
      </c>
    </row>
    <row r="53" spans="1:4">
      <c r="A53" t="s">
        <v>18</v>
      </c>
      <c r="B53" t="s">
        <v>14</v>
      </c>
      <c r="C53">
        <v>387.72</v>
      </c>
      <c r="D53">
        <v>369.884</v>
      </c>
    </row>
    <row r="54" spans="1:4">
      <c r="A54" t="s">
        <v>18</v>
      </c>
      <c r="B54" t="s">
        <v>15</v>
      </c>
      <c r="C54">
        <v>351.41</v>
      </c>
      <c r="D54">
        <v>375.6265</v>
      </c>
    </row>
    <row r="55" spans="1:4">
      <c r="A55" t="s">
        <v>18</v>
      </c>
      <c r="B55" t="s">
        <v>16</v>
      </c>
      <c r="C55">
        <v>102.71</v>
      </c>
      <c r="D55">
        <v>380.4605</v>
      </c>
    </row>
    <row r="56" spans="1:4">
      <c r="A56" t="s">
        <v>19</v>
      </c>
      <c r="B56" t="s">
        <v>17</v>
      </c>
      <c r="C56">
        <v>313.18</v>
      </c>
      <c r="D56">
        <v>400.969</v>
      </c>
    </row>
    <row r="57" spans="1:4">
      <c r="A57" t="s">
        <v>19</v>
      </c>
      <c r="B57" t="s">
        <v>8</v>
      </c>
      <c r="C57">
        <v>134.26</v>
      </c>
      <c r="D57">
        <v>369.6125</v>
      </c>
    </row>
    <row r="58" spans="1:4">
      <c r="A58" t="s">
        <v>19</v>
      </c>
      <c r="B58" t="s">
        <v>9</v>
      </c>
      <c r="C58">
        <v>422.09</v>
      </c>
      <c r="D58">
        <v>369.2255</v>
      </c>
    </row>
    <row r="59" spans="1:4">
      <c r="A59" t="s">
        <v>19</v>
      </c>
      <c r="B59" t="s">
        <v>10</v>
      </c>
      <c r="C59">
        <v>113.76</v>
      </c>
      <c r="D59">
        <v>378.234</v>
      </c>
    </row>
    <row r="60" spans="1:4">
      <c r="A60" t="s">
        <v>19</v>
      </c>
      <c r="B60" t="s">
        <v>11</v>
      </c>
      <c r="C60">
        <v>458.18</v>
      </c>
      <c r="D60">
        <v>369.337</v>
      </c>
    </row>
    <row r="61" spans="1:4">
      <c r="A61" t="s">
        <v>19</v>
      </c>
      <c r="B61" t="s">
        <v>12</v>
      </c>
      <c r="C61">
        <v>332.15</v>
      </c>
      <c r="D61">
        <v>377.161</v>
      </c>
    </row>
    <row r="62" spans="1:4">
      <c r="A62" t="s">
        <v>19</v>
      </c>
      <c r="B62" t="s">
        <v>13</v>
      </c>
      <c r="C62">
        <v>502.9</v>
      </c>
      <c r="D62">
        <v>397.6695</v>
      </c>
    </row>
    <row r="63" spans="1:4">
      <c r="A63" t="s">
        <v>19</v>
      </c>
      <c r="B63" t="s">
        <v>14</v>
      </c>
      <c r="C63">
        <v>380.78</v>
      </c>
      <c r="D63">
        <v>394.626</v>
      </c>
    </row>
    <row r="64" spans="1:4">
      <c r="A64" t="s">
        <v>19</v>
      </c>
      <c r="B64" t="s">
        <v>15</v>
      </c>
      <c r="C64">
        <v>493.44</v>
      </c>
      <c r="D64">
        <v>397.413</v>
      </c>
    </row>
    <row r="65" spans="1:4">
      <c r="A65" t="s">
        <v>19</v>
      </c>
      <c r="B65" t="s">
        <v>16</v>
      </c>
      <c r="C65">
        <v>510.08</v>
      </c>
      <c r="D65">
        <v>389.9765</v>
      </c>
    </row>
    <row r="66" spans="1:4">
      <c r="A66" t="s">
        <v>19</v>
      </c>
      <c r="B66" t="s">
        <v>17</v>
      </c>
      <c r="C66">
        <v>83.24</v>
      </c>
      <c r="D66">
        <v>405.586</v>
      </c>
    </row>
    <row r="67" spans="1:4">
      <c r="A67" t="s">
        <v>19</v>
      </c>
      <c r="B67" t="s">
        <v>8</v>
      </c>
      <c r="C67">
        <v>256.89</v>
      </c>
      <c r="D67">
        <v>378.9905</v>
      </c>
    </row>
    <row r="68" spans="1:4">
      <c r="A68" t="s">
        <v>19</v>
      </c>
      <c r="B68" t="s">
        <v>9</v>
      </c>
      <c r="C68">
        <v>343.45</v>
      </c>
      <c r="D68">
        <v>392.001</v>
      </c>
    </row>
    <row r="69" spans="1:4">
      <c r="A69" t="s">
        <v>19</v>
      </c>
      <c r="B69" t="s">
        <v>10</v>
      </c>
      <c r="C69">
        <v>397.37</v>
      </c>
      <c r="D69">
        <v>377.3655</v>
      </c>
    </row>
    <row r="70" spans="1:4">
      <c r="A70" t="s">
        <v>19</v>
      </c>
      <c r="B70" t="s">
        <v>11</v>
      </c>
      <c r="C70">
        <v>480.43</v>
      </c>
      <c r="D70">
        <v>389.847</v>
      </c>
    </row>
    <row r="71" spans="1:4">
      <c r="A71" t="s">
        <v>19</v>
      </c>
      <c r="B71" t="s">
        <v>12</v>
      </c>
      <c r="C71">
        <v>471.84</v>
      </c>
      <c r="D71">
        <v>376.281</v>
      </c>
    </row>
    <row r="72" spans="1:4">
      <c r="A72" t="s">
        <v>19</v>
      </c>
      <c r="B72" t="s">
        <v>13</v>
      </c>
      <c r="C72">
        <v>442.3</v>
      </c>
      <c r="D72">
        <v>392.017</v>
      </c>
    </row>
    <row r="73" spans="1:4">
      <c r="A73" t="s">
        <v>19</v>
      </c>
      <c r="B73" t="s">
        <v>14</v>
      </c>
      <c r="C73">
        <v>339.03</v>
      </c>
      <c r="D73">
        <v>395.7355</v>
      </c>
    </row>
    <row r="74" spans="1:4">
      <c r="A74" t="s">
        <v>19</v>
      </c>
      <c r="B74" t="s">
        <v>15</v>
      </c>
      <c r="C74">
        <v>188.38</v>
      </c>
      <c r="D74">
        <v>384.964</v>
      </c>
    </row>
    <row r="75" spans="1:4">
      <c r="A75" t="s">
        <v>19</v>
      </c>
      <c r="B75" t="s">
        <v>16</v>
      </c>
      <c r="C75">
        <v>67.53</v>
      </c>
      <c r="D75">
        <v>375.952</v>
      </c>
    </row>
    <row r="76" spans="1:4">
      <c r="A76" t="s">
        <v>19</v>
      </c>
      <c r="B76" t="s">
        <v>17</v>
      </c>
      <c r="C76">
        <v>503.24</v>
      </c>
      <c r="D76">
        <v>391.8605</v>
      </c>
    </row>
    <row r="77" spans="1:4">
      <c r="A77" t="s">
        <v>19</v>
      </c>
      <c r="B77" t="s">
        <v>8</v>
      </c>
      <c r="C77">
        <v>190.84</v>
      </c>
      <c r="D77">
        <v>364.8395</v>
      </c>
    </row>
    <row r="78" spans="1:4">
      <c r="A78" t="s">
        <v>19</v>
      </c>
      <c r="B78" t="s">
        <v>9</v>
      </c>
      <c r="C78">
        <v>373.68</v>
      </c>
      <c r="D78">
        <v>406.1745</v>
      </c>
    </row>
    <row r="79" spans="1:4">
      <c r="A79" t="s">
        <v>19</v>
      </c>
      <c r="B79" t="s">
        <v>10</v>
      </c>
      <c r="C79">
        <v>162.25</v>
      </c>
      <c r="D79">
        <v>388.802</v>
      </c>
    </row>
    <row r="80" spans="1:4">
      <c r="A80" t="s">
        <v>19</v>
      </c>
      <c r="B80" t="s">
        <v>11</v>
      </c>
      <c r="C80">
        <v>167.8</v>
      </c>
      <c r="D80">
        <v>363.575</v>
      </c>
    </row>
    <row r="81" spans="1:4">
      <c r="A81" t="s">
        <v>19</v>
      </c>
      <c r="B81" t="s">
        <v>12</v>
      </c>
      <c r="C81">
        <v>323.56</v>
      </c>
      <c r="D81">
        <v>382.922</v>
      </c>
    </row>
    <row r="82" spans="1:4">
      <c r="A82" t="s">
        <v>19</v>
      </c>
      <c r="B82" t="s">
        <v>13</v>
      </c>
      <c r="C82">
        <v>385.39</v>
      </c>
      <c r="D82">
        <v>388.699</v>
      </c>
    </row>
    <row r="83" spans="1:4">
      <c r="A83" t="s">
        <v>19</v>
      </c>
      <c r="B83" t="s">
        <v>14</v>
      </c>
      <c r="C83">
        <v>389.39</v>
      </c>
      <c r="D83">
        <v>382.079</v>
      </c>
    </row>
    <row r="84" spans="1:4">
      <c r="A84" t="s">
        <v>19</v>
      </c>
      <c r="B84" t="s">
        <v>15</v>
      </c>
      <c r="C84">
        <v>85.12</v>
      </c>
      <c r="D84">
        <v>381.784</v>
      </c>
    </row>
    <row r="85" spans="1:4">
      <c r="A85" t="s">
        <v>19</v>
      </c>
      <c r="B85" t="s">
        <v>16</v>
      </c>
      <c r="C85">
        <v>302.58</v>
      </c>
      <c r="D85">
        <v>374.6695</v>
      </c>
    </row>
    <row r="86" spans="1:4">
      <c r="A86" t="s">
        <v>19</v>
      </c>
      <c r="B86" t="s">
        <v>17</v>
      </c>
      <c r="C86">
        <v>273.44</v>
      </c>
      <c r="D86">
        <v>402.5035</v>
      </c>
    </row>
    <row r="87" spans="1:4">
      <c r="A87" t="s">
        <v>20</v>
      </c>
      <c r="B87" t="s">
        <v>8</v>
      </c>
      <c r="C87">
        <v>430.34</v>
      </c>
      <c r="D87">
        <v>396.93</v>
      </c>
    </row>
    <row r="88" spans="1:4">
      <c r="A88" t="s">
        <v>20</v>
      </c>
      <c r="B88" t="s">
        <v>9</v>
      </c>
      <c r="C88">
        <v>196.41</v>
      </c>
      <c r="D88">
        <v>381.777</v>
      </c>
    </row>
    <row r="89" spans="1:4">
      <c r="A89" t="s">
        <v>20</v>
      </c>
      <c r="B89" t="s">
        <v>10</v>
      </c>
      <c r="C89">
        <v>423.77</v>
      </c>
      <c r="D89">
        <v>368.648</v>
      </c>
    </row>
    <row r="90" spans="1:4">
      <c r="A90" t="s">
        <v>20</v>
      </c>
      <c r="B90" t="s">
        <v>11</v>
      </c>
      <c r="C90">
        <v>484.28</v>
      </c>
      <c r="D90">
        <v>382.7395</v>
      </c>
    </row>
    <row r="91" spans="1:4">
      <c r="A91" t="s">
        <v>20</v>
      </c>
      <c r="B91" t="s">
        <v>12</v>
      </c>
      <c r="C91">
        <v>180.29</v>
      </c>
      <c r="D91">
        <v>397.659</v>
      </c>
    </row>
    <row r="92" spans="1:4">
      <c r="A92" t="s">
        <v>20</v>
      </c>
      <c r="B92" t="s">
        <v>13</v>
      </c>
      <c r="C92">
        <v>408.41</v>
      </c>
      <c r="D92">
        <v>377.4115</v>
      </c>
    </row>
    <row r="93" spans="1:4">
      <c r="A93" t="s">
        <v>20</v>
      </c>
      <c r="B93" t="s">
        <v>14</v>
      </c>
      <c r="C93">
        <v>201.79</v>
      </c>
      <c r="D93">
        <v>374.69</v>
      </c>
    </row>
    <row r="94" spans="1:4">
      <c r="A94" t="s">
        <v>20</v>
      </c>
      <c r="B94" t="s">
        <v>15</v>
      </c>
      <c r="C94">
        <v>566.35</v>
      </c>
      <c r="D94">
        <v>397.8205</v>
      </c>
    </row>
    <row r="95" spans="1:4">
      <c r="A95" t="s">
        <v>20</v>
      </c>
      <c r="B95" t="s">
        <v>16</v>
      </c>
      <c r="C95">
        <v>220.78</v>
      </c>
      <c r="D95">
        <v>391.4535</v>
      </c>
    </row>
    <row r="96" spans="1:4">
      <c r="A96" t="s">
        <v>20</v>
      </c>
      <c r="B96" t="s">
        <v>17</v>
      </c>
      <c r="C96">
        <v>501.4</v>
      </c>
      <c r="D96">
        <v>384.3045</v>
      </c>
    </row>
    <row r="97" spans="1:4">
      <c r="A97" t="s">
        <v>20</v>
      </c>
      <c r="B97" t="s">
        <v>8</v>
      </c>
      <c r="C97">
        <v>293.41</v>
      </c>
      <c r="D97">
        <v>386.091</v>
      </c>
    </row>
    <row r="98" spans="1:4">
      <c r="A98" t="s">
        <v>20</v>
      </c>
      <c r="B98" t="s">
        <v>9</v>
      </c>
      <c r="C98">
        <v>461.19</v>
      </c>
      <c r="D98">
        <v>391.063</v>
      </c>
    </row>
    <row r="99" spans="1:4">
      <c r="A99" t="s">
        <v>20</v>
      </c>
      <c r="B99" t="s">
        <v>10</v>
      </c>
      <c r="C99">
        <v>232.12</v>
      </c>
      <c r="D99">
        <v>395.3335</v>
      </c>
    </row>
    <row r="100" spans="1:4">
      <c r="A100" t="s">
        <v>20</v>
      </c>
      <c r="B100" t="s">
        <v>11</v>
      </c>
      <c r="C100">
        <v>122.5</v>
      </c>
      <c r="D100">
        <v>404.48</v>
      </c>
    </row>
    <row r="101" spans="1:4">
      <c r="A101" t="s">
        <v>20</v>
      </c>
      <c r="B101" t="s">
        <v>12</v>
      </c>
      <c r="C101">
        <v>469.92</v>
      </c>
      <c r="D101">
        <v>406.669</v>
      </c>
    </row>
    <row r="102" spans="1:4">
      <c r="A102" t="s">
        <v>20</v>
      </c>
      <c r="B102" t="s">
        <v>13</v>
      </c>
      <c r="C102">
        <v>71.34</v>
      </c>
      <c r="D102">
        <v>365.089</v>
      </c>
    </row>
    <row r="103" spans="1:4">
      <c r="A103" t="s">
        <v>20</v>
      </c>
      <c r="B103" t="s">
        <v>14</v>
      </c>
      <c r="C103">
        <v>410.19</v>
      </c>
      <c r="D103">
        <v>370.2565</v>
      </c>
    </row>
    <row r="104" spans="1:4">
      <c r="A104" t="s">
        <v>20</v>
      </c>
      <c r="B104" t="s">
        <v>15</v>
      </c>
      <c r="C104">
        <v>399.13</v>
      </c>
      <c r="D104">
        <v>392.95</v>
      </c>
    </row>
    <row r="105" spans="1:4">
      <c r="A105" t="s">
        <v>20</v>
      </c>
      <c r="B105" t="s">
        <v>16</v>
      </c>
      <c r="C105">
        <v>248.96</v>
      </c>
      <c r="D105">
        <v>365.3195</v>
      </c>
    </row>
    <row r="106" spans="1:4">
      <c r="A106" t="s">
        <v>20</v>
      </c>
      <c r="B106" t="s">
        <v>17</v>
      </c>
      <c r="C106">
        <v>69.91</v>
      </c>
      <c r="D106">
        <v>378.2495</v>
      </c>
    </row>
    <row r="107" spans="1:4">
      <c r="A107" t="s">
        <v>20</v>
      </c>
      <c r="B107" t="s">
        <v>8</v>
      </c>
      <c r="C107">
        <v>309.49</v>
      </c>
      <c r="D107">
        <v>387.235</v>
      </c>
    </row>
    <row r="108" spans="1:4">
      <c r="A108" t="s">
        <v>20</v>
      </c>
      <c r="B108" t="s">
        <v>9</v>
      </c>
      <c r="C108">
        <v>389.22</v>
      </c>
      <c r="D108">
        <v>386.802</v>
      </c>
    </row>
    <row r="109" spans="1:4">
      <c r="A109" t="s">
        <v>20</v>
      </c>
      <c r="B109" t="s">
        <v>10</v>
      </c>
      <c r="C109">
        <v>457.5</v>
      </c>
      <c r="D109">
        <v>405.7005</v>
      </c>
    </row>
    <row r="110" spans="1:4">
      <c r="A110" t="s">
        <v>20</v>
      </c>
      <c r="B110" t="s">
        <v>11</v>
      </c>
      <c r="C110">
        <v>425.44</v>
      </c>
      <c r="D110">
        <v>405.3595</v>
      </c>
    </row>
    <row r="111" spans="1:4">
      <c r="A111" t="s">
        <v>20</v>
      </c>
      <c r="B111" t="s">
        <v>12</v>
      </c>
      <c r="C111">
        <v>141.66</v>
      </c>
      <c r="D111">
        <v>381.915</v>
      </c>
    </row>
    <row r="112" spans="1:4">
      <c r="A112" t="s">
        <v>20</v>
      </c>
      <c r="B112" t="s">
        <v>13</v>
      </c>
      <c r="C112">
        <v>446.54</v>
      </c>
      <c r="D112">
        <v>384.2075</v>
      </c>
    </row>
    <row r="113" spans="1:4">
      <c r="A113" t="s">
        <v>20</v>
      </c>
      <c r="B113" t="s">
        <v>14</v>
      </c>
      <c r="C113">
        <v>96.24</v>
      </c>
      <c r="D113">
        <v>399.9435</v>
      </c>
    </row>
    <row r="114" spans="1:4">
      <c r="A114" t="s">
        <v>20</v>
      </c>
      <c r="B114" t="s">
        <v>15</v>
      </c>
      <c r="C114">
        <v>160.1</v>
      </c>
      <c r="D114">
        <v>366.2525</v>
      </c>
    </row>
    <row r="115" spans="1:4">
      <c r="A115" t="s">
        <v>20</v>
      </c>
      <c r="B115" t="s">
        <v>16</v>
      </c>
      <c r="C115">
        <v>431.65</v>
      </c>
      <c r="D115">
        <v>373.8925</v>
      </c>
    </row>
    <row r="116" spans="1:4">
      <c r="A116" t="s">
        <v>20</v>
      </c>
      <c r="B116" t="s">
        <v>17</v>
      </c>
      <c r="C116">
        <v>493.13</v>
      </c>
      <c r="D116">
        <v>404.659</v>
      </c>
    </row>
    <row r="117" spans="1:4">
      <c r="A117" t="s">
        <v>21</v>
      </c>
      <c r="B117" t="s">
        <v>8</v>
      </c>
      <c r="C117">
        <v>327.06</v>
      </c>
      <c r="D117">
        <v>367.104</v>
      </c>
    </row>
    <row r="118" spans="1:4">
      <c r="A118" t="s">
        <v>21</v>
      </c>
      <c r="B118" t="s">
        <v>9</v>
      </c>
      <c r="C118">
        <v>328.38</v>
      </c>
      <c r="D118">
        <v>365.1645</v>
      </c>
    </row>
    <row r="119" spans="1:4">
      <c r="A119" t="s">
        <v>21</v>
      </c>
      <c r="B119" t="s">
        <v>10</v>
      </c>
      <c r="C119">
        <v>140.37</v>
      </c>
      <c r="D119">
        <v>364.214</v>
      </c>
    </row>
    <row r="120" spans="1:4">
      <c r="A120" t="s">
        <v>21</v>
      </c>
      <c r="B120" t="s">
        <v>11</v>
      </c>
      <c r="C120">
        <v>451.41</v>
      </c>
      <c r="D120">
        <v>407.5155</v>
      </c>
    </row>
    <row r="121" spans="1:4">
      <c r="A121" t="s">
        <v>21</v>
      </c>
      <c r="B121" t="s">
        <v>12</v>
      </c>
      <c r="C121">
        <v>353.02</v>
      </c>
      <c r="D121">
        <v>376.228</v>
      </c>
    </row>
    <row r="122" spans="1:4">
      <c r="A122" t="s">
        <v>21</v>
      </c>
      <c r="B122" t="s">
        <v>13</v>
      </c>
      <c r="C122">
        <v>411.32</v>
      </c>
      <c r="D122">
        <v>385.064</v>
      </c>
    </row>
    <row r="123" spans="1:4">
      <c r="A123" t="s">
        <v>21</v>
      </c>
      <c r="B123" t="s">
        <v>14</v>
      </c>
      <c r="C123">
        <v>159.06</v>
      </c>
      <c r="D123">
        <v>377.7655</v>
      </c>
    </row>
    <row r="124" spans="1:4">
      <c r="A124" t="s">
        <v>21</v>
      </c>
      <c r="B124" t="s">
        <v>15</v>
      </c>
      <c r="C124">
        <v>198.66</v>
      </c>
      <c r="D124">
        <v>365.7175</v>
      </c>
    </row>
    <row r="125" spans="1:4">
      <c r="A125" t="s">
        <v>21</v>
      </c>
      <c r="B125" t="s">
        <v>16</v>
      </c>
      <c r="C125">
        <v>285.47</v>
      </c>
      <c r="D125">
        <v>378.682</v>
      </c>
    </row>
    <row r="126" spans="1:4">
      <c r="A126" t="s">
        <v>21</v>
      </c>
      <c r="B126" t="s">
        <v>17</v>
      </c>
      <c r="C126">
        <v>116.92</v>
      </c>
      <c r="D126">
        <v>371.878</v>
      </c>
    </row>
    <row r="127" spans="1:4">
      <c r="A127" t="s">
        <v>21</v>
      </c>
      <c r="B127" t="s">
        <v>8</v>
      </c>
      <c r="C127">
        <v>396.6</v>
      </c>
      <c r="D127">
        <v>370.5595</v>
      </c>
    </row>
    <row r="128" spans="1:4">
      <c r="A128" t="s">
        <v>21</v>
      </c>
      <c r="B128" t="s">
        <v>9</v>
      </c>
      <c r="C128">
        <v>204.83</v>
      </c>
      <c r="D128">
        <v>371.909</v>
      </c>
    </row>
    <row r="129" spans="1:4">
      <c r="A129" t="s">
        <v>21</v>
      </c>
      <c r="B129" t="s">
        <v>10</v>
      </c>
      <c r="C129">
        <v>354.43</v>
      </c>
      <c r="D129">
        <v>390.934</v>
      </c>
    </row>
    <row r="130" spans="1:4">
      <c r="A130" t="s">
        <v>21</v>
      </c>
      <c r="B130" t="s">
        <v>11</v>
      </c>
      <c r="C130">
        <v>213.62</v>
      </c>
      <c r="D130">
        <v>400.345</v>
      </c>
    </row>
    <row r="131" spans="1:4">
      <c r="A131" t="s">
        <v>21</v>
      </c>
      <c r="B131" t="s">
        <v>12</v>
      </c>
      <c r="C131">
        <v>246.49</v>
      </c>
      <c r="D131">
        <v>392.3795</v>
      </c>
    </row>
    <row r="132" spans="1:4">
      <c r="A132" t="s">
        <v>21</v>
      </c>
      <c r="B132" t="s">
        <v>13</v>
      </c>
      <c r="C132">
        <v>323.95</v>
      </c>
      <c r="D132">
        <v>369.648</v>
      </c>
    </row>
    <row r="133" spans="1:4">
      <c r="A133" t="s">
        <v>21</v>
      </c>
      <c r="B133" t="s">
        <v>14</v>
      </c>
      <c r="C133">
        <v>140.23</v>
      </c>
      <c r="D133">
        <v>403.991</v>
      </c>
    </row>
    <row r="134" spans="1:4">
      <c r="A134" t="s">
        <v>21</v>
      </c>
      <c r="B134" t="s">
        <v>15</v>
      </c>
      <c r="C134">
        <v>348.5</v>
      </c>
      <c r="D134">
        <v>387.1705</v>
      </c>
    </row>
    <row r="135" spans="1:4">
      <c r="A135" t="s">
        <v>21</v>
      </c>
      <c r="B135" t="s">
        <v>16</v>
      </c>
      <c r="C135">
        <v>432.04</v>
      </c>
      <c r="D135">
        <v>400.1005</v>
      </c>
    </row>
    <row r="136" spans="1:4">
      <c r="A136" t="s">
        <v>21</v>
      </c>
      <c r="B136" t="s">
        <v>17</v>
      </c>
      <c r="C136">
        <v>143.52</v>
      </c>
      <c r="D136">
        <v>384.1425</v>
      </c>
    </row>
    <row r="137" spans="1:4">
      <c r="A137" t="s">
        <v>21</v>
      </c>
      <c r="B137" t="s">
        <v>8</v>
      </c>
      <c r="C137">
        <v>371.92</v>
      </c>
      <c r="D137">
        <v>371.2205</v>
      </c>
    </row>
    <row r="138" spans="1:4">
      <c r="A138" t="s">
        <v>21</v>
      </c>
      <c r="B138" t="s">
        <v>9</v>
      </c>
      <c r="C138">
        <v>325.84</v>
      </c>
      <c r="D138">
        <v>370.4885</v>
      </c>
    </row>
    <row r="139" spans="1:4">
      <c r="A139" t="s">
        <v>21</v>
      </c>
      <c r="B139" t="s">
        <v>10</v>
      </c>
      <c r="C139">
        <v>461.85</v>
      </c>
      <c r="D139">
        <v>400.1395</v>
      </c>
    </row>
    <row r="140" spans="1:4">
      <c r="A140" t="s">
        <v>21</v>
      </c>
      <c r="B140" t="s">
        <v>11</v>
      </c>
      <c r="C140">
        <v>489.76</v>
      </c>
      <c r="D140">
        <v>369.3235</v>
      </c>
    </row>
    <row r="141" spans="1:4">
      <c r="A141" t="s">
        <v>21</v>
      </c>
      <c r="B141" t="s">
        <v>12</v>
      </c>
      <c r="C141">
        <v>383.87</v>
      </c>
      <c r="D141">
        <v>383.898</v>
      </c>
    </row>
    <row r="142" spans="1:4">
      <c r="A142" t="s">
        <v>21</v>
      </c>
      <c r="B142" t="s">
        <v>13</v>
      </c>
      <c r="C142">
        <v>315.1</v>
      </c>
      <c r="D142">
        <v>395.0685</v>
      </c>
    </row>
    <row r="143" spans="1:4">
      <c r="A143" t="s">
        <v>21</v>
      </c>
      <c r="B143" t="s">
        <v>14</v>
      </c>
      <c r="C143">
        <v>276.85</v>
      </c>
      <c r="D143">
        <v>378.6505</v>
      </c>
    </row>
    <row r="144" spans="1:4">
      <c r="A144" t="s">
        <v>21</v>
      </c>
      <c r="B144" t="s">
        <v>15</v>
      </c>
      <c r="C144">
        <v>274.87</v>
      </c>
      <c r="D144">
        <v>389.1195</v>
      </c>
    </row>
    <row r="145" spans="1:4">
      <c r="A145" t="s">
        <v>21</v>
      </c>
      <c r="B145" t="s">
        <v>16</v>
      </c>
      <c r="C145">
        <v>91.44</v>
      </c>
      <c r="D145">
        <v>393.942</v>
      </c>
    </row>
    <row r="146" spans="1:4">
      <c r="A146" t="s">
        <v>21</v>
      </c>
      <c r="B146" t="s">
        <v>17</v>
      </c>
      <c r="C146">
        <v>135.84</v>
      </c>
      <c r="D146">
        <v>378.95</v>
      </c>
    </row>
    <row r="147" spans="1:4">
      <c r="A147" t="s">
        <v>21</v>
      </c>
      <c r="B147" t="s">
        <v>8</v>
      </c>
      <c r="C147">
        <v>458.34</v>
      </c>
      <c r="D147">
        <v>399.9875</v>
      </c>
    </row>
    <row r="148" spans="1:4">
      <c r="A148" t="s">
        <v>22</v>
      </c>
      <c r="B148" t="s">
        <v>9</v>
      </c>
      <c r="C148">
        <v>114.66</v>
      </c>
      <c r="D148">
        <v>396.2885</v>
      </c>
    </row>
    <row r="149" spans="1:4">
      <c r="A149" t="s">
        <v>22</v>
      </c>
      <c r="B149" t="s">
        <v>10</v>
      </c>
      <c r="C149">
        <v>259.34</v>
      </c>
      <c r="D149">
        <v>391.543</v>
      </c>
    </row>
    <row r="150" spans="1:4">
      <c r="A150" t="s">
        <v>22</v>
      </c>
      <c r="B150" t="s">
        <v>11</v>
      </c>
      <c r="C150">
        <v>257.38</v>
      </c>
      <c r="D150">
        <v>399.9075</v>
      </c>
    </row>
    <row r="151" spans="1:4">
      <c r="A151" t="s">
        <v>22</v>
      </c>
      <c r="B151" t="s">
        <v>12</v>
      </c>
      <c r="C151">
        <v>321.19</v>
      </c>
      <c r="D151">
        <v>392.9885</v>
      </c>
    </row>
    <row r="152" spans="1:4">
      <c r="A152" t="s">
        <v>22</v>
      </c>
      <c r="B152" t="s">
        <v>13</v>
      </c>
      <c r="C152">
        <v>110.74</v>
      </c>
      <c r="D152">
        <v>385.391</v>
      </c>
    </row>
    <row r="153" spans="1:4">
      <c r="A153" t="s">
        <v>22</v>
      </c>
      <c r="B153" t="s">
        <v>14</v>
      </c>
      <c r="C153">
        <v>353.01</v>
      </c>
      <c r="D153">
        <v>377.644</v>
      </c>
    </row>
    <row r="154" spans="1:4">
      <c r="A154" t="s">
        <v>22</v>
      </c>
      <c r="B154" t="s">
        <v>15</v>
      </c>
      <c r="C154">
        <v>145.03</v>
      </c>
      <c r="D154">
        <v>376.4865</v>
      </c>
    </row>
    <row r="155" spans="1:4">
      <c r="A155" t="s">
        <v>22</v>
      </c>
      <c r="B155" t="s">
        <v>16</v>
      </c>
      <c r="C155">
        <v>233.62</v>
      </c>
      <c r="D155">
        <v>373.9835</v>
      </c>
    </row>
    <row r="156" spans="1:4">
      <c r="A156" t="s">
        <v>22</v>
      </c>
      <c r="B156" t="s">
        <v>17</v>
      </c>
      <c r="C156">
        <v>453.31</v>
      </c>
      <c r="D156">
        <v>377.6445</v>
      </c>
    </row>
    <row r="157" spans="1:4">
      <c r="A157" t="s">
        <v>22</v>
      </c>
      <c r="B157" t="s">
        <v>8</v>
      </c>
      <c r="C157">
        <v>440.11</v>
      </c>
      <c r="D157">
        <v>380.604</v>
      </c>
    </row>
    <row r="158" spans="1:4">
      <c r="A158" t="s">
        <v>22</v>
      </c>
      <c r="B158" t="s">
        <v>9</v>
      </c>
      <c r="C158">
        <v>138.39</v>
      </c>
      <c r="D158">
        <v>401.055</v>
      </c>
    </row>
    <row r="159" spans="1:4">
      <c r="A159" t="s">
        <v>22</v>
      </c>
      <c r="B159" t="s">
        <v>10</v>
      </c>
      <c r="C159">
        <v>302.19</v>
      </c>
      <c r="D159">
        <v>393.6185</v>
      </c>
    </row>
    <row r="160" spans="1:4">
      <c r="A160" t="s">
        <v>22</v>
      </c>
      <c r="B160" t="s">
        <v>11</v>
      </c>
      <c r="C160">
        <v>138.96</v>
      </c>
      <c r="D160">
        <v>390.1035</v>
      </c>
    </row>
    <row r="161" spans="1:4">
      <c r="A161" t="s">
        <v>22</v>
      </c>
      <c r="B161" t="s">
        <v>12</v>
      </c>
      <c r="C161">
        <v>309.6</v>
      </c>
      <c r="D161">
        <v>408.312</v>
      </c>
    </row>
    <row r="162" spans="1:4">
      <c r="A162" t="s">
        <v>22</v>
      </c>
      <c r="B162" t="s">
        <v>13</v>
      </c>
      <c r="C162">
        <v>33.97</v>
      </c>
      <c r="D162">
        <v>387.8805</v>
      </c>
    </row>
    <row r="163" spans="1:4">
      <c r="A163" t="s">
        <v>22</v>
      </c>
      <c r="B163" t="s">
        <v>14</v>
      </c>
      <c r="C163">
        <v>468.13</v>
      </c>
      <c r="D163">
        <v>392.1625</v>
      </c>
    </row>
    <row r="164" spans="1:4">
      <c r="A164" t="s">
        <v>22</v>
      </c>
      <c r="B164" t="s">
        <v>15</v>
      </c>
      <c r="C164">
        <v>347.01</v>
      </c>
      <c r="D164">
        <v>375.388</v>
      </c>
    </row>
    <row r="165" spans="1:4">
      <c r="A165" t="s">
        <v>22</v>
      </c>
      <c r="B165" t="s">
        <v>16</v>
      </c>
      <c r="C165">
        <v>399.31</v>
      </c>
      <c r="D165">
        <v>367.342</v>
      </c>
    </row>
    <row r="166" spans="1:4">
      <c r="A166" t="s">
        <v>22</v>
      </c>
      <c r="B166" t="s">
        <v>17</v>
      </c>
      <c r="C166">
        <v>383.28</v>
      </c>
      <c r="D166">
        <v>386.804</v>
      </c>
    </row>
    <row r="167" spans="1:4">
      <c r="A167" t="s">
        <v>22</v>
      </c>
      <c r="B167" t="s">
        <v>8</v>
      </c>
      <c r="C167">
        <v>318.39</v>
      </c>
      <c r="D167">
        <v>397.5835</v>
      </c>
    </row>
    <row r="168" spans="1:4">
      <c r="A168" t="s">
        <v>22</v>
      </c>
      <c r="B168" t="s">
        <v>9</v>
      </c>
      <c r="C168">
        <v>362.95</v>
      </c>
      <c r="D168">
        <v>410.479</v>
      </c>
    </row>
    <row r="169" spans="1:4">
      <c r="A169" t="s">
        <v>22</v>
      </c>
      <c r="B169" t="s">
        <v>10</v>
      </c>
      <c r="C169">
        <v>130.24</v>
      </c>
      <c r="D169">
        <v>369.9915</v>
      </c>
    </row>
    <row r="170" spans="1:4">
      <c r="A170" t="s">
        <v>22</v>
      </c>
      <c r="B170" t="s">
        <v>11</v>
      </c>
      <c r="C170">
        <v>352.46</v>
      </c>
      <c r="D170">
        <v>370.306</v>
      </c>
    </row>
    <row r="171" spans="1:4">
      <c r="A171" t="s">
        <v>22</v>
      </c>
      <c r="B171" t="s">
        <v>12</v>
      </c>
      <c r="C171">
        <v>377.05</v>
      </c>
      <c r="D171">
        <v>400.992</v>
      </c>
    </row>
    <row r="172" spans="1:4">
      <c r="A172" t="s">
        <v>22</v>
      </c>
      <c r="B172" t="s">
        <v>13</v>
      </c>
      <c r="C172">
        <v>257.68</v>
      </c>
      <c r="D172">
        <v>380.687</v>
      </c>
    </row>
    <row r="173" spans="1:4">
      <c r="A173" t="s">
        <v>22</v>
      </c>
      <c r="B173" t="s">
        <v>14</v>
      </c>
      <c r="C173">
        <v>244.47</v>
      </c>
      <c r="D173">
        <v>409.257</v>
      </c>
    </row>
    <row r="174" spans="1:4">
      <c r="A174" t="s">
        <v>22</v>
      </c>
      <c r="B174" t="s">
        <v>15</v>
      </c>
      <c r="C174">
        <v>77.64</v>
      </c>
      <c r="D174">
        <v>405.1325</v>
      </c>
    </row>
    <row r="175" spans="1:4">
      <c r="A175" t="s">
        <v>22</v>
      </c>
      <c r="B175" t="s">
        <v>16</v>
      </c>
      <c r="C175">
        <v>339.92</v>
      </c>
      <c r="D175">
        <v>402.8595</v>
      </c>
    </row>
    <row r="176" spans="1:4">
      <c r="A176" t="s">
        <v>22</v>
      </c>
      <c r="B176" t="s">
        <v>17</v>
      </c>
      <c r="C176">
        <v>524.74</v>
      </c>
      <c r="D176">
        <v>399.333</v>
      </c>
    </row>
    <row r="177" spans="1:4">
      <c r="A177" t="s">
        <v>22</v>
      </c>
      <c r="B177" t="s">
        <v>8</v>
      </c>
      <c r="C177">
        <v>275.9</v>
      </c>
      <c r="D177">
        <v>367.1255</v>
      </c>
    </row>
    <row r="178" spans="1:4">
      <c r="A178" t="s">
        <v>23</v>
      </c>
      <c r="B178" t="s">
        <v>9</v>
      </c>
      <c r="C178">
        <v>133.28</v>
      </c>
      <c r="D178">
        <v>380.918</v>
      </c>
    </row>
    <row r="179" spans="1:4">
      <c r="A179" t="s">
        <v>23</v>
      </c>
      <c r="B179" t="s">
        <v>10</v>
      </c>
      <c r="C179">
        <v>472.62</v>
      </c>
      <c r="D179">
        <v>395.3545</v>
      </c>
    </row>
    <row r="180" spans="1:4">
      <c r="A180" t="s">
        <v>23</v>
      </c>
      <c r="B180" t="s">
        <v>11</v>
      </c>
      <c r="C180">
        <v>218.74</v>
      </c>
      <c r="D180">
        <v>379.178</v>
      </c>
    </row>
    <row r="181" spans="1:4">
      <c r="A181" t="s">
        <v>23</v>
      </c>
      <c r="B181" t="s">
        <v>12</v>
      </c>
      <c r="C181">
        <v>450.16</v>
      </c>
      <c r="D181">
        <v>371.0285</v>
      </c>
    </row>
    <row r="182" spans="1:4">
      <c r="A182" t="s">
        <v>23</v>
      </c>
      <c r="B182" t="s">
        <v>13</v>
      </c>
      <c r="C182">
        <v>64.3</v>
      </c>
      <c r="D182">
        <v>369.0775</v>
      </c>
    </row>
    <row r="183" spans="1:4">
      <c r="A183" t="s">
        <v>23</v>
      </c>
      <c r="B183" t="s">
        <v>14</v>
      </c>
      <c r="C183">
        <v>441.73</v>
      </c>
      <c r="D183">
        <v>410.5735</v>
      </c>
    </row>
    <row r="184" spans="1:4">
      <c r="A184" t="s">
        <v>23</v>
      </c>
      <c r="B184" t="s">
        <v>15</v>
      </c>
      <c r="C184">
        <v>166.79</v>
      </c>
      <c r="D184">
        <v>395.133</v>
      </c>
    </row>
    <row r="185" spans="1:4">
      <c r="A185" t="s">
        <v>23</v>
      </c>
      <c r="B185" t="s">
        <v>16</v>
      </c>
      <c r="C185">
        <v>363.36</v>
      </c>
      <c r="D185">
        <v>408.4195</v>
      </c>
    </row>
    <row r="186" spans="1:4">
      <c r="A186" t="s">
        <v>23</v>
      </c>
      <c r="B186" t="s">
        <v>17</v>
      </c>
      <c r="C186">
        <v>493.88</v>
      </c>
      <c r="D186">
        <v>397.9355</v>
      </c>
    </row>
    <row r="187" spans="1:4">
      <c r="A187" t="s">
        <v>23</v>
      </c>
      <c r="B187" t="s">
        <v>8</v>
      </c>
      <c r="C187">
        <v>298.57</v>
      </c>
      <c r="D187">
        <v>405.6215</v>
      </c>
    </row>
    <row r="188" spans="1:4">
      <c r="A188" t="s">
        <v>23</v>
      </c>
      <c r="B188" t="s">
        <v>9</v>
      </c>
      <c r="C188">
        <v>168.18</v>
      </c>
      <c r="D188">
        <v>383.7295</v>
      </c>
    </row>
    <row r="189" spans="1:4">
      <c r="A189" t="s">
        <v>23</v>
      </c>
      <c r="B189" t="s">
        <v>10</v>
      </c>
      <c r="C189">
        <v>116.09</v>
      </c>
      <c r="D189">
        <v>395.6705</v>
      </c>
    </row>
    <row r="190" spans="1:4">
      <c r="A190" t="s">
        <v>23</v>
      </c>
      <c r="B190" t="s">
        <v>11</v>
      </c>
      <c r="C190">
        <v>226.87</v>
      </c>
      <c r="D190">
        <v>403.023</v>
      </c>
    </row>
    <row r="191" spans="1:4">
      <c r="A191" t="s">
        <v>23</v>
      </c>
      <c r="B191" t="s">
        <v>12</v>
      </c>
      <c r="C191">
        <v>457.48</v>
      </c>
      <c r="D191">
        <v>401.394</v>
      </c>
    </row>
    <row r="192" spans="1:4">
      <c r="A192" t="s">
        <v>23</v>
      </c>
      <c r="B192" t="s">
        <v>13</v>
      </c>
      <c r="C192">
        <v>417.17</v>
      </c>
      <c r="D192">
        <v>397.1085</v>
      </c>
    </row>
    <row r="193" spans="1:4">
      <c r="A193" t="s">
        <v>23</v>
      </c>
      <c r="B193" t="s">
        <v>14</v>
      </c>
      <c r="C193">
        <v>179.37</v>
      </c>
      <c r="D193">
        <v>401.77</v>
      </c>
    </row>
    <row r="194" spans="1:4">
      <c r="A194" t="s">
        <v>23</v>
      </c>
      <c r="B194" t="s">
        <v>15</v>
      </c>
      <c r="C194">
        <v>498.1</v>
      </c>
      <c r="D194">
        <v>392.9305</v>
      </c>
    </row>
    <row r="195" spans="1:4">
      <c r="A195" t="s">
        <v>23</v>
      </c>
      <c r="B195" t="s">
        <v>16</v>
      </c>
      <c r="C195">
        <v>252.1</v>
      </c>
      <c r="D195">
        <v>412.3465</v>
      </c>
    </row>
    <row r="196" spans="1:4">
      <c r="A196" t="s">
        <v>23</v>
      </c>
      <c r="B196" t="s">
        <v>17</v>
      </c>
      <c r="C196">
        <v>151.12</v>
      </c>
      <c r="D196">
        <v>401.0115</v>
      </c>
    </row>
    <row r="197" spans="1:4">
      <c r="A197" t="s">
        <v>23</v>
      </c>
      <c r="B197" t="s">
        <v>8</v>
      </c>
      <c r="C197">
        <v>153.83</v>
      </c>
      <c r="D197">
        <v>395.0125</v>
      </c>
    </row>
    <row r="198" spans="1:4">
      <c r="A198" t="s">
        <v>23</v>
      </c>
      <c r="B198" t="s">
        <v>9</v>
      </c>
      <c r="C198">
        <v>491.13</v>
      </c>
      <c r="D198">
        <v>386.2535</v>
      </c>
    </row>
    <row r="199" spans="1:4">
      <c r="A199" t="s">
        <v>23</v>
      </c>
      <c r="B199" t="s">
        <v>10</v>
      </c>
      <c r="C199">
        <v>214.28</v>
      </c>
      <c r="D199">
        <v>401.564</v>
      </c>
    </row>
    <row r="200" spans="1:4">
      <c r="A200" t="s">
        <v>23</v>
      </c>
      <c r="B200" t="s">
        <v>11</v>
      </c>
      <c r="C200">
        <v>199.87</v>
      </c>
      <c r="D200">
        <v>407.9505</v>
      </c>
    </row>
    <row r="201" spans="1:4">
      <c r="A201" t="s">
        <v>23</v>
      </c>
      <c r="B201" t="s">
        <v>12</v>
      </c>
      <c r="C201">
        <v>359.75</v>
      </c>
      <c r="D201">
        <v>410.6225</v>
      </c>
    </row>
    <row r="202" spans="1:4">
      <c r="A202" t="s">
        <v>23</v>
      </c>
      <c r="B202" t="s">
        <v>13</v>
      </c>
      <c r="C202">
        <v>402.59</v>
      </c>
      <c r="D202">
        <v>370.917</v>
      </c>
    </row>
    <row r="203" spans="1:4">
      <c r="A203" t="s">
        <v>23</v>
      </c>
      <c r="B203" t="s">
        <v>14</v>
      </c>
      <c r="C203">
        <v>179.91</v>
      </c>
      <c r="D203">
        <v>395.0595</v>
      </c>
    </row>
    <row r="204" spans="1:4">
      <c r="A204" t="s">
        <v>23</v>
      </c>
      <c r="B204" t="s">
        <v>15</v>
      </c>
      <c r="C204">
        <v>306.35</v>
      </c>
      <c r="D204">
        <v>387.5425</v>
      </c>
    </row>
    <row r="205" spans="1:4">
      <c r="A205" t="s">
        <v>23</v>
      </c>
      <c r="B205" t="s">
        <v>16</v>
      </c>
      <c r="C205">
        <v>137.31</v>
      </c>
      <c r="D205">
        <v>372.0445</v>
      </c>
    </row>
    <row r="206" spans="1:4">
      <c r="A206" t="s">
        <v>23</v>
      </c>
      <c r="B206" t="s">
        <v>17</v>
      </c>
      <c r="C206">
        <v>472.26</v>
      </c>
      <c r="D206">
        <v>410.5735</v>
      </c>
    </row>
    <row r="207" spans="1:4">
      <c r="A207" t="s">
        <v>23</v>
      </c>
      <c r="B207" t="s">
        <v>8</v>
      </c>
      <c r="C207">
        <v>451.52</v>
      </c>
      <c r="D207">
        <v>374.0995</v>
      </c>
    </row>
    <row r="208" spans="1:4">
      <c r="A208" t="s">
        <v>23</v>
      </c>
      <c r="B208" t="s">
        <v>9</v>
      </c>
      <c r="C208">
        <v>399</v>
      </c>
      <c r="D208">
        <v>389.111</v>
      </c>
    </row>
    <row r="209" spans="1:4">
      <c r="A209" t="s">
        <v>24</v>
      </c>
      <c r="B209" t="s">
        <v>10</v>
      </c>
      <c r="C209">
        <v>355.5</v>
      </c>
      <c r="D209">
        <v>406.9515</v>
      </c>
    </row>
    <row r="210" spans="1:4">
      <c r="A210" t="s">
        <v>24</v>
      </c>
      <c r="B210" t="s">
        <v>11</v>
      </c>
      <c r="C210">
        <v>244.46</v>
      </c>
      <c r="D210">
        <v>395.6625</v>
      </c>
    </row>
    <row r="211" spans="1:4">
      <c r="A211" t="s">
        <v>24</v>
      </c>
      <c r="B211" t="s">
        <v>12</v>
      </c>
      <c r="C211">
        <v>97.8</v>
      </c>
      <c r="D211">
        <v>378.865</v>
      </c>
    </row>
    <row r="212" spans="1:4">
      <c r="A212" t="s">
        <v>24</v>
      </c>
      <c r="B212" t="s">
        <v>13</v>
      </c>
      <c r="C212">
        <v>381.05</v>
      </c>
      <c r="D212">
        <v>392.5885</v>
      </c>
    </row>
    <row r="213" spans="1:4">
      <c r="A213" t="s">
        <v>24</v>
      </c>
      <c r="B213" t="s">
        <v>14</v>
      </c>
      <c r="C213">
        <v>465.57</v>
      </c>
      <c r="D213">
        <v>369.4085</v>
      </c>
    </row>
    <row r="214" spans="1:4">
      <c r="A214" t="s">
        <v>24</v>
      </c>
      <c r="B214" t="s">
        <v>15</v>
      </c>
      <c r="C214">
        <v>204.78</v>
      </c>
      <c r="D214">
        <v>397.4495</v>
      </c>
    </row>
    <row r="215" spans="1:4">
      <c r="A215" t="s">
        <v>24</v>
      </c>
      <c r="B215" t="s">
        <v>16</v>
      </c>
      <c r="C215">
        <v>335.52</v>
      </c>
      <c r="D215">
        <v>380.353</v>
      </c>
    </row>
    <row r="216" spans="1:4">
      <c r="A216" t="s">
        <v>24</v>
      </c>
      <c r="B216" t="s">
        <v>17</v>
      </c>
      <c r="C216">
        <v>272.53</v>
      </c>
      <c r="D216">
        <v>396.802</v>
      </c>
    </row>
    <row r="217" spans="1:4">
      <c r="A217" t="s">
        <v>24</v>
      </c>
      <c r="B217" t="s">
        <v>8</v>
      </c>
      <c r="C217">
        <v>182.71</v>
      </c>
      <c r="D217">
        <v>376.7845</v>
      </c>
    </row>
    <row r="218" spans="1:4">
      <c r="A218" t="s">
        <v>24</v>
      </c>
      <c r="B218" t="s">
        <v>9</v>
      </c>
      <c r="C218">
        <v>414.14</v>
      </c>
      <c r="D218">
        <v>388.806</v>
      </c>
    </row>
    <row r="219" spans="1:4">
      <c r="A219" t="s">
        <v>24</v>
      </c>
      <c r="B219" t="s">
        <v>10</v>
      </c>
      <c r="C219">
        <v>460.9</v>
      </c>
      <c r="D219">
        <v>412.109</v>
      </c>
    </row>
    <row r="220" spans="1:4">
      <c r="A220" t="s">
        <v>24</v>
      </c>
      <c r="B220" t="s">
        <v>11</v>
      </c>
      <c r="C220">
        <v>257.19</v>
      </c>
      <c r="D220">
        <v>413.3895</v>
      </c>
    </row>
    <row r="221" spans="1:4">
      <c r="A221" t="s">
        <v>24</v>
      </c>
      <c r="B221" t="s">
        <v>12</v>
      </c>
      <c r="C221">
        <v>213.33</v>
      </c>
      <c r="D221">
        <v>408.9775</v>
      </c>
    </row>
    <row r="222" spans="1:4">
      <c r="A222" t="s">
        <v>24</v>
      </c>
      <c r="B222" t="s">
        <v>13</v>
      </c>
      <c r="C222">
        <v>155.84</v>
      </c>
      <c r="D222">
        <v>414.5475</v>
      </c>
    </row>
    <row r="223" spans="1:4">
      <c r="A223" t="s">
        <v>24</v>
      </c>
      <c r="B223" t="s">
        <v>14</v>
      </c>
      <c r="C223">
        <v>336.27</v>
      </c>
      <c r="D223">
        <v>411.7685</v>
      </c>
    </row>
    <row r="224" spans="1:4">
      <c r="A224" t="s">
        <v>24</v>
      </c>
      <c r="B224" t="s">
        <v>15</v>
      </c>
      <c r="C224">
        <v>372.08</v>
      </c>
      <c r="D224">
        <v>383.4595</v>
      </c>
    </row>
    <row r="225" spans="1:4">
      <c r="A225" t="s">
        <v>24</v>
      </c>
      <c r="B225" t="s">
        <v>16</v>
      </c>
      <c r="C225">
        <v>357.01</v>
      </c>
      <c r="D225">
        <v>390.7545</v>
      </c>
    </row>
    <row r="226" spans="1:4">
      <c r="A226" t="s">
        <v>24</v>
      </c>
      <c r="B226" t="s">
        <v>17</v>
      </c>
      <c r="C226">
        <v>134.34</v>
      </c>
      <c r="D226">
        <v>380.88</v>
      </c>
    </row>
    <row r="227" spans="1:4">
      <c r="A227" t="s">
        <v>24</v>
      </c>
      <c r="B227" t="s">
        <v>8</v>
      </c>
      <c r="C227">
        <v>319.74</v>
      </c>
      <c r="D227">
        <v>373.4205</v>
      </c>
    </row>
    <row r="228" spans="1:4">
      <c r="A228" t="s">
        <v>24</v>
      </c>
      <c r="B228" t="s">
        <v>9</v>
      </c>
      <c r="C228">
        <v>218.3</v>
      </c>
      <c r="D228">
        <v>388.5585</v>
      </c>
    </row>
    <row r="229" spans="1:4">
      <c r="A229" t="s">
        <v>24</v>
      </c>
      <c r="B229" t="s">
        <v>10</v>
      </c>
      <c r="C229">
        <v>464.17</v>
      </c>
      <c r="D229">
        <v>382.134</v>
      </c>
    </row>
    <row r="230" spans="1:4">
      <c r="A230" t="s">
        <v>24</v>
      </c>
      <c r="B230" t="s">
        <v>11</v>
      </c>
      <c r="C230">
        <v>185.79</v>
      </c>
      <c r="D230">
        <v>380.758</v>
      </c>
    </row>
    <row r="231" spans="1:4">
      <c r="A231" t="s">
        <v>24</v>
      </c>
      <c r="B231" t="s">
        <v>12</v>
      </c>
      <c r="C231">
        <v>340.98</v>
      </c>
      <c r="D231">
        <v>398.2535</v>
      </c>
    </row>
    <row r="232" spans="1:4">
      <c r="A232" t="s">
        <v>24</v>
      </c>
      <c r="B232" t="s">
        <v>13</v>
      </c>
      <c r="C232">
        <v>68.4</v>
      </c>
      <c r="D232">
        <v>404.594</v>
      </c>
    </row>
    <row r="233" spans="1:4">
      <c r="A233" t="s">
        <v>24</v>
      </c>
      <c r="B233" t="s">
        <v>14</v>
      </c>
      <c r="C233">
        <v>206.39</v>
      </c>
      <c r="D233">
        <v>406.3</v>
      </c>
    </row>
    <row r="234" spans="1:4">
      <c r="A234" t="s">
        <v>24</v>
      </c>
      <c r="B234" t="s">
        <v>15</v>
      </c>
      <c r="C234">
        <v>205.65</v>
      </c>
      <c r="D234">
        <v>404.211</v>
      </c>
    </row>
    <row r="235" spans="1:4">
      <c r="A235" t="s">
        <v>24</v>
      </c>
      <c r="B235" t="s">
        <v>16</v>
      </c>
      <c r="C235">
        <v>337.7</v>
      </c>
      <c r="D235">
        <v>403.1915</v>
      </c>
    </row>
    <row r="236" spans="1:4">
      <c r="A236" t="s">
        <v>24</v>
      </c>
      <c r="B236" t="s">
        <v>17</v>
      </c>
      <c r="C236">
        <v>273.05</v>
      </c>
      <c r="D236">
        <v>406.3465</v>
      </c>
    </row>
    <row r="237" spans="1:4">
      <c r="A237" t="s">
        <v>24</v>
      </c>
      <c r="B237" t="s">
        <v>8</v>
      </c>
      <c r="C237">
        <v>244.51</v>
      </c>
      <c r="D237">
        <v>375.5305</v>
      </c>
    </row>
    <row r="238" spans="1:4">
      <c r="A238" t="s">
        <v>24</v>
      </c>
      <c r="B238" t="s">
        <v>9</v>
      </c>
      <c r="C238">
        <v>95.15</v>
      </c>
      <c r="D238">
        <v>381.158</v>
      </c>
    </row>
    <row r="239" spans="1:4">
      <c r="A239" t="s">
        <v>24</v>
      </c>
      <c r="B239" t="s">
        <v>10</v>
      </c>
      <c r="C239">
        <v>496.88</v>
      </c>
      <c r="D239">
        <v>413.868</v>
      </c>
    </row>
    <row r="240" spans="1:4">
      <c r="A240" t="s">
        <v>25</v>
      </c>
      <c r="B240" t="s">
        <v>11</v>
      </c>
      <c r="C240">
        <v>382.92</v>
      </c>
      <c r="D240">
        <v>403.7175</v>
      </c>
    </row>
    <row r="241" spans="1:4">
      <c r="A241" t="s">
        <v>25</v>
      </c>
      <c r="B241" t="s">
        <v>12</v>
      </c>
      <c r="C241">
        <v>425.76</v>
      </c>
      <c r="D241">
        <v>415.1065</v>
      </c>
    </row>
    <row r="242" spans="1:4">
      <c r="A242" t="s">
        <v>25</v>
      </c>
      <c r="B242" t="s">
        <v>13</v>
      </c>
      <c r="C242">
        <v>317.84</v>
      </c>
      <c r="D242">
        <v>393.2605</v>
      </c>
    </row>
    <row r="243" spans="1:4">
      <c r="A243" t="s">
        <v>25</v>
      </c>
      <c r="B243" t="s">
        <v>14</v>
      </c>
      <c r="C243">
        <v>318.12</v>
      </c>
      <c r="D243">
        <v>394.3225</v>
      </c>
    </row>
    <row r="244" spans="1:4">
      <c r="A244" t="s">
        <v>25</v>
      </c>
      <c r="B244" t="s">
        <v>15</v>
      </c>
      <c r="C244">
        <v>245.08</v>
      </c>
      <c r="D244">
        <v>378.0425</v>
      </c>
    </row>
    <row r="245" spans="1:4">
      <c r="A245" t="s">
        <v>25</v>
      </c>
      <c r="B245" t="s">
        <v>16</v>
      </c>
      <c r="C245">
        <v>369.48</v>
      </c>
      <c r="D245">
        <v>402.1735</v>
      </c>
    </row>
    <row r="246" spans="1:4">
      <c r="A246" t="s">
        <v>25</v>
      </c>
      <c r="B246" t="s">
        <v>17</v>
      </c>
      <c r="C246">
        <v>133.87</v>
      </c>
      <c r="D246">
        <v>378.821</v>
      </c>
    </row>
    <row r="247" spans="1:4">
      <c r="A247" t="s">
        <v>25</v>
      </c>
      <c r="B247" t="s">
        <v>8</v>
      </c>
      <c r="C247">
        <v>270.95</v>
      </c>
      <c r="D247">
        <v>371.902</v>
      </c>
    </row>
    <row r="248" spans="1:4">
      <c r="A248" t="s">
        <v>25</v>
      </c>
      <c r="B248" t="s">
        <v>9</v>
      </c>
      <c r="C248">
        <v>329.15</v>
      </c>
      <c r="D248">
        <v>412.409</v>
      </c>
    </row>
    <row r="249" spans="1:4">
      <c r="A249" t="s">
        <v>25</v>
      </c>
      <c r="B249" t="s">
        <v>10</v>
      </c>
      <c r="C249">
        <v>288.56</v>
      </c>
      <c r="D249">
        <v>380.1095</v>
      </c>
    </row>
    <row r="250" spans="1:4">
      <c r="A250" t="s">
        <v>25</v>
      </c>
      <c r="B250" t="s">
        <v>11</v>
      </c>
      <c r="C250">
        <v>464.84</v>
      </c>
      <c r="D250">
        <v>389.44</v>
      </c>
    </row>
    <row r="251" spans="1:4">
      <c r="A251" t="s">
        <v>25</v>
      </c>
      <c r="B251" t="s">
        <v>12</v>
      </c>
      <c r="C251">
        <v>247.66</v>
      </c>
      <c r="D251">
        <v>394.55</v>
      </c>
    </row>
    <row r="252" spans="1:4">
      <c r="A252" t="s">
        <v>25</v>
      </c>
      <c r="B252" t="s">
        <v>13</v>
      </c>
      <c r="C252">
        <v>117.7</v>
      </c>
      <c r="D252">
        <v>397.337</v>
      </c>
    </row>
    <row r="253" spans="1:4">
      <c r="A253" t="s">
        <v>25</v>
      </c>
      <c r="B253" t="s">
        <v>14</v>
      </c>
      <c r="C253">
        <v>393.99</v>
      </c>
      <c r="D253">
        <v>380.6315</v>
      </c>
    </row>
    <row r="254" spans="1:4">
      <c r="A254" t="s">
        <v>25</v>
      </c>
      <c r="B254" t="s">
        <v>15</v>
      </c>
      <c r="C254">
        <v>119.58</v>
      </c>
      <c r="D254">
        <v>387.3745</v>
      </c>
    </row>
    <row r="255" spans="1:4">
      <c r="A255" t="s">
        <v>25</v>
      </c>
      <c r="B255" t="s">
        <v>16</v>
      </c>
      <c r="C255">
        <v>227.11</v>
      </c>
      <c r="D255">
        <v>379.8</v>
      </c>
    </row>
    <row r="256" spans="1:4">
      <c r="A256" t="s">
        <v>25</v>
      </c>
      <c r="B256" t="s">
        <v>17</v>
      </c>
      <c r="C256">
        <v>447.96</v>
      </c>
      <c r="D256">
        <v>375.3305</v>
      </c>
    </row>
    <row r="257" spans="1:4">
      <c r="A257" t="s">
        <v>25</v>
      </c>
      <c r="B257" t="s">
        <v>8</v>
      </c>
      <c r="C257">
        <v>358.79</v>
      </c>
      <c r="D257">
        <v>388.5365</v>
      </c>
    </row>
    <row r="258" spans="1:4">
      <c r="A258" t="s">
        <v>25</v>
      </c>
      <c r="B258" t="s">
        <v>9</v>
      </c>
      <c r="C258">
        <v>203.03</v>
      </c>
      <c r="D258">
        <v>371.877</v>
      </c>
    </row>
    <row r="259" spans="1:4">
      <c r="A259" t="s">
        <v>25</v>
      </c>
      <c r="B259" t="s">
        <v>10</v>
      </c>
      <c r="C259">
        <v>77.55</v>
      </c>
      <c r="D259">
        <v>389.062</v>
      </c>
    </row>
    <row r="260" spans="1:4">
      <c r="A260" t="s">
        <v>25</v>
      </c>
      <c r="B260" t="s">
        <v>11</v>
      </c>
      <c r="C260">
        <v>281.11</v>
      </c>
      <c r="D260">
        <v>387.7895</v>
      </c>
    </row>
    <row r="261" spans="1:4">
      <c r="A261" t="s">
        <v>25</v>
      </c>
      <c r="B261" t="s">
        <v>12</v>
      </c>
      <c r="C261">
        <v>370.08</v>
      </c>
      <c r="D261">
        <v>391.6115</v>
      </c>
    </row>
    <row r="262" spans="1:4">
      <c r="A262" t="s">
        <v>25</v>
      </c>
      <c r="B262" t="s">
        <v>13</v>
      </c>
      <c r="C262">
        <v>356.61</v>
      </c>
      <c r="D262">
        <v>412.994</v>
      </c>
    </row>
    <row r="263" spans="1:4">
      <c r="A263" t="s">
        <v>25</v>
      </c>
      <c r="B263" t="s">
        <v>14</v>
      </c>
      <c r="C263">
        <v>432.01</v>
      </c>
      <c r="D263">
        <v>383.811</v>
      </c>
    </row>
    <row r="264" spans="1:4">
      <c r="A264" t="s">
        <v>25</v>
      </c>
      <c r="B264" t="s">
        <v>15</v>
      </c>
      <c r="C264">
        <v>410.26</v>
      </c>
      <c r="D264">
        <v>392.095</v>
      </c>
    </row>
    <row r="265" spans="1:4">
      <c r="A265" t="s">
        <v>25</v>
      </c>
      <c r="B265" t="s">
        <v>16</v>
      </c>
      <c r="C265">
        <v>313.82</v>
      </c>
      <c r="D265">
        <v>396.584</v>
      </c>
    </row>
    <row r="266" spans="1:4">
      <c r="A266" t="s">
        <v>25</v>
      </c>
      <c r="B266" t="s">
        <v>17</v>
      </c>
      <c r="C266">
        <v>460.27</v>
      </c>
      <c r="D266">
        <v>375.497</v>
      </c>
    </row>
    <row r="267" spans="1:4">
      <c r="A267" t="s">
        <v>25</v>
      </c>
      <c r="B267" t="s">
        <v>8</v>
      </c>
      <c r="C267">
        <v>468.16</v>
      </c>
      <c r="D267">
        <v>403.722</v>
      </c>
    </row>
    <row r="268" spans="1:4">
      <c r="A268" t="s">
        <v>25</v>
      </c>
      <c r="B268" t="s">
        <v>9</v>
      </c>
      <c r="C268">
        <v>428.3</v>
      </c>
      <c r="D268">
        <v>393.399</v>
      </c>
    </row>
    <row r="269" spans="1:4">
      <c r="A269" t="s">
        <v>25</v>
      </c>
      <c r="B269" t="s">
        <v>10</v>
      </c>
      <c r="C269">
        <v>158.61</v>
      </c>
      <c r="D269">
        <v>385.4335</v>
      </c>
    </row>
    <row r="270" spans="1:4">
      <c r="A270" t="s">
        <v>26</v>
      </c>
      <c r="B270" t="s">
        <v>11</v>
      </c>
      <c r="C270">
        <v>90.04</v>
      </c>
      <c r="D270">
        <v>380.941</v>
      </c>
    </row>
    <row r="271" spans="1:4">
      <c r="A271" t="s">
        <v>26</v>
      </c>
      <c r="B271" t="s">
        <v>12</v>
      </c>
      <c r="C271">
        <v>251.43</v>
      </c>
      <c r="D271">
        <v>396.5045</v>
      </c>
    </row>
    <row r="272" spans="1:4">
      <c r="A272" t="s">
        <v>26</v>
      </c>
      <c r="B272" t="s">
        <v>13</v>
      </c>
      <c r="C272">
        <v>120.78</v>
      </c>
      <c r="D272">
        <v>378.948</v>
      </c>
    </row>
    <row r="273" spans="1:4">
      <c r="A273" t="s">
        <v>26</v>
      </c>
      <c r="B273" t="s">
        <v>14</v>
      </c>
      <c r="C273">
        <v>150.07</v>
      </c>
      <c r="D273">
        <v>382.356</v>
      </c>
    </row>
    <row r="274" spans="1:4">
      <c r="A274" t="s">
        <v>26</v>
      </c>
      <c r="B274" t="s">
        <v>15</v>
      </c>
      <c r="C274">
        <v>256.72</v>
      </c>
      <c r="D274">
        <v>414.7325</v>
      </c>
    </row>
    <row r="275" spans="1:4">
      <c r="A275" t="s">
        <v>26</v>
      </c>
      <c r="B275" t="s">
        <v>16</v>
      </c>
      <c r="C275">
        <v>126.54</v>
      </c>
      <c r="D275">
        <v>415.7255</v>
      </c>
    </row>
    <row r="276" spans="1:4">
      <c r="A276" t="s">
        <v>26</v>
      </c>
      <c r="B276" t="s">
        <v>17</v>
      </c>
      <c r="C276">
        <v>102.28</v>
      </c>
      <c r="D276">
        <v>389.3255</v>
      </c>
    </row>
    <row r="277" spans="1:4">
      <c r="A277" t="s">
        <v>26</v>
      </c>
      <c r="B277" t="s">
        <v>8</v>
      </c>
      <c r="C277">
        <v>246.58</v>
      </c>
      <c r="D277">
        <v>401.945</v>
      </c>
    </row>
    <row r="278" spans="1:4">
      <c r="A278" t="s">
        <v>26</v>
      </c>
      <c r="B278" t="s">
        <v>9</v>
      </c>
      <c r="C278">
        <v>140.27</v>
      </c>
      <c r="D278">
        <v>408.3545</v>
      </c>
    </row>
    <row r="279" spans="1:4">
      <c r="A279" t="s">
        <v>26</v>
      </c>
      <c r="B279" t="s">
        <v>10</v>
      </c>
      <c r="C279">
        <v>341.67</v>
      </c>
      <c r="D279">
        <v>391.3615</v>
      </c>
    </row>
    <row r="280" spans="1:4">
      <c r="A280" t="s">
        <v>26</v>
      </c>
      <c r="B280" t="s">
        <v>11</v>
      </c>
      <c r="C280">
        <v>101.68</v>
      </c>
      <c r="D280">
        <v>402.371</v>
      </c>
    </row>
    <row r="281" spans="1:4">
      <c r="A281" t="s">
        <v>26</v>
      </c>
      <c r="B281" t="s">
        <v>12</v>
      </c>
      <c r="C281">
        <v>114.11</v>
      </c>
      <c r="D281">
        <v>393.4165</v>
      </c>
    </row>
    <row r="282" spans="1:4">
      <c r="A282" t="s">
        <v>26</v>
      </c>
      <c r="B282" t="s">
        <v>13</v>
      </c>
      <c r="C282">
        <v>207.01</v>
      </c>
      <c r="D282">
        <v>397.02</v>
      </c>
    </row>
    <row r="283" spans="1:4">
      <c r="A283" t="s">
        <v>26</v>
      </c>
      <c r="B283" t="s">
        <v>14</v>
      </c>
      <c r="C283">
        <v>367.1</v>
      </c>
      <c r="D283">
        <v>391.3315</v>
      </c>
    </row>
    <row r="284" spans="1:4">
      <c r="A284" t="s">
        <v>26</v>
      </c>
      <c r="B284" t="s">
        <v>15</v>
      </c>
      <c r="C284">
        <v>117.3</v>
      </c>
      <c r="D284">
        <v>399.8685</v>
      </c>
    </row>
    <row r="285" spans="1:4">
      <c r="A285" t="s">
        <v>26</v>
      </c>
      <c r="B285" t="s">
        <v>16</v>
      </c>
      <c r="C285">
        <v>181.81</v>
      </c>
      <c r="D285">
        <v>386.2335</v>
      </c>
    </row>
    <row r="286" spans="1:4">
      <c r="A286" t="s">
        <v>26</v>
      </c>
      <c r="B286" t="s">
        <v>17</v>
      </c>
      <c r="C286">
        <v>243.47</v>
      </c>
      <c r="D286">
        <v>410.1</v>
      </c>
    </row>
    <row r="287" spans="1:4">
      <c r="A287" t="s">
        <v>26</v>
      </c>
      <c r="B287" t="s">
        <v>8</v>
      </c>
      <c r="C287">
        <v>477.67</v>
      </c>
      <c r="D287">
        <v>386.391</v>
      </c>
    </row>
    <row r="288" spans="1:4">
      <c r="A288" t="s">
        <v>26</v>
      </c>
      <c r="B288" t="s">
        <v>9</v>
      </c>
      <c r="C288">
        <v>147.29</v>
      </c>
      <c r="D288">
        <v>399.5395</v>
      </c>
    </row>
    <row r="289" spans="1:4">
      <c r="A289" t="s">
        <v>26</v>
      </c>
      <c r="B289" t="s">
        <v>10</v>
      </c>
      <c r="C289">
        <v>334.88</v>
      </c>
      <c r="D289">
        <v>378.3145</v>
      </c>
    </row>
    <row r="290" spans="1:4">
      <c r="A290" t="s">
        <v>26</v>
      </c>
      <c r="B290" t="s">
        <v>11</v>
      </c>
      <c r="C290">
        <v>395.64</v>
      </c>
      <c r="D290">
        <v>394.8785</v>
      </c>
    </row>
    <row r="291" spans="1:4">
      <c r="A291" t="s">
        <v>26</v>
      </c>
      <c r="B291" t="s">
        <v>12</v>
      </c>
      <c r="C291">
        <v>96.88</v>
      </c>
      <c r="D291">
        <v>373.872</v>
      </c>
    </row>
    <row r="292" spans="1:4">
      <c r="A292" t="s">
        <v>26</v>
      </c>
      <c r="B292" t="s">
        <v>13</v>
      </c>
      <c r="C292">
        <v>324.02</v>
      </c>
      <c r="D292">
        <v>390.988</v>
      </c>
    </row>
    <row r="293" spans="1:4">
      <c r="A293" t="s">
        <v>26</v>
      </c>
      <c r="B293" t="s">
        <v>14</v>
      </c>
      <c r="C293">
        <v>199.14</v>
      </c>
      <c r="D293">
        <v>408.4375</v>
      </c>
    </row>
    <row r="294" spans="1:4">
      <c r="A294" t="s">
        <v>26</v>
      </c>
      <c r="B294" t="s">
        <v>15</v>
      </c>
      <c r="C294">
        <v>130.95</v>
      </c>
      <c r="D294">
        <v>380.9795</v>
      </c>
    </row>
    <row r="295" spans="1:4">
      <c r="A295" t="s">
        <v>26</v>
      </c>
      <c r="B295" t="s">
        <v>16</v>
      </c>
      <c r="C295">
        <v>291.54</v>
      </c>
      <c r="D295">
        <v>402.96</v>
      </c>
    </row>
    <row r="296" spans="1:4">
      <c r="A296" t="s">
        <v>26</v>
      </c>
      <c r="B296" t="s">
        <v>17</v>
      </c>
      <c r="C296">
        <v>470.01</v>
      </c>
      <c r="D296">
        <v>402.895</v>
      </c>
    </row>
    <row r="297" spans="1:4">
      <c r="A297" t="s">
        <v>26</v>
      </c>
      <c r="B297" t="s">
        <v>8</v>
      </c>
      <c r="C297">
        <v>305.22</v>
      </c>
      <c r="D297">
        <v>417.4695</v>
      </c>
    </row>
    <row r="298" spans="1:4">
      <c r="A298" t="s">
        <v>26</v>
      </c>
      <c r="B298" t="s">
        <v>9</v>
      </c>
      <c r="C298">
        <v>105.72</v>
      </c>
      <c r="D298">
        <v>393.7375</v>
      </c>
    </row>
    <row r="299" spans="1:4">
      <c r="A299" t="s">
        <v>26</v>
      </c>
      <c r="B299" t="s">
        <v>10</v>
      </c>
      <c r="C299">
        <v>233.18</v>
      </c>
      <c r="D299">
        <v>394.443</v>
      </c>
    </row>
    <row r="300" spans="1:4">
      <c r="A300" t="s">
        <v>26</v>
      </c>
      <c r="B300" t="s">
        <v>11</v>
      </c>
      <c r="C300">
        <v>460.21</v>
      </c>
      <c r="D300">
        <v>402.704</v>
      </c>
    </row>
    <row r="301" spans="1:4">
      <c r="A301" t="s">
        <v>27</v>
      </c>
      <c r="B301" t="s">
        <v>12</v>
      </c>
      <c r="C301">
        <v>2.19</v>
      </c>
      <c r="D301">
        <v>377.9945</v>
      </c>
    </row>
    <row r="302" spans="1:4">
      <c r="A302" t="s">
        <v>27</v>
      </c>
      <c r="B302" t="s">
        <v>13</v>
      </c>
      <c r="C302">
        <v>178.23</v>
      </c>
      <c r="D302">
        <v>413.2575</v>
      </c>
    </row>
    <row r="303" spans="1:4">
      <c r="A303" t="s">
        <v>27</v>
      </c>
      <c r="B303" t="s">
        <v>14</v>
      </c>
      <c r="C303">
        <v>140.24</v>
      </c>
      <c r="D303">
        <v>404.05</v>
      </c>
    </row>
    <row r="304" spans="1:4">
      <c r="A304" t="s">
        <v>27</v>
      </c>
      <c r="B304" t="s">
        <v>15</v>
      </c>
      <c r="C304">
        <v>439.27</v>
      </c>
      <c r="D304">
        <v>404.491</v>
      </c>
    </row>
    <row r="305" spans="1:4">
      <c r="A305" t="s">
        <v>27</v>
      </c>
      <c r="B305" t="s">
        <v>16</v>
      </c>
      <c r="C305">
        <v>465.08</v>
      </c>
      <c r="D305">
        <v>415.0865</v>
      </c>
    </row>
    <row r="306" spans="1:4">
      <c r="A306" t="s">
        <v>27</v>
      </c>
      <c r="B306" t="s">
        <v>17</v>
      </c>
      <c r="C306">
        <v>459.83</v>
      </c>
      <c r="D306">
        <v>397.2425</v>
      </c>
    </row>
    <row r="307" spans="1:4">
      <c r="A307" t="s">
        <v>27</v>
      </c>
      <c r="B307" t="s">
        <v>8</v>
      </c>
      <c r="C307">
        <v>439.89</v>
      </c>
      <c r="D307">
        <v>387.7935</v>
      </c>
    </row>
    <row r="308" spans="1:4">
      <c r="A308" t="s">
        <v>27</v>
      </c>
      <c r="B308" t="s">
        <v>9</v>
      </c>
      <c r="C308">
        <v>359.96</v>
      </c>
      <c r="D308">
        <v>395.9395</v>
      </c>
    </row>
    <row r="309" spans="1:4">
      <c r="A309" t="s">
        <v>27</v>
      </c>
      <c r="B309" t="s">
        <v>10</v>
      </c>
      <c r="C309">
        <v>317.57</v>
      </c>
      <c r="D309">
        <v>412.308</v>
      </c>
    </row>
    <row r="310" spans="1:4">
      <c r="A310" t="s">
        <v>27</v>
      </c>
      <c r="B310" t="s">
        <v>11</v>
      </c>
      <c r="C310">
        <v>224.78</v>
      </c>
      <c r="D310">
        <v>402.2265</v>
      </c>
    </row>
    <row r="311" spans="1:4">
      <c r="A311" t="s">
        <v>27</v>
      </c>
      <c r="B311" t="s">
        <v>12</v>
      </c>
      <c r="C311">
        <v>110.36</v>
      </c>
      <c r="D311">
        <v>419.515</v>
      </c>
    </row>
    <row r="312" spans="1:4">
      <c r="A312" t="s">
        <v>27</v>
      </c>
      <c r="B312" t="s">
        <v>13</v>
      </c>
      <c r="C312">
        <v>365.54</v>
      </c>
      <c r="D312">
        <v>379.7405</v>
      </c>
    </row>
    <row r="313" spans="1:4">
      <c r="A313" t="s">
        <v>27</v>
      </c>
      <c r="B313" t="s">
        <v>14</v>
      </c>
      <c r="C313">
        <v>181.12</v>
      </c>
      <c r="D313">
        <v>415.843</v>
      </c>
    </row>
    <row r="314" spans="1:4">
      <c r="A314" t="s">
        <v>27</v>
      </c>
      <c r="B314" t="s">
        <v>15</v>
      </c>
      <c r="C314">
        <v>494.73</v>
      </c>
      <c r="D314">
        <v>392.3065</v>
      </c>
    </row>
    <row r="315" spans="1:4">
      <c r="A315" t="s">
        <v>27</v>
      </c>
      <c r="B315" t="s">
        <v>16</v>
      </c>
      <c r="C315">
        <v>402.03</v>
      </c>
      <c r="D315">
        <v>374.4625</v>
      </c>
    </row>
    <row r="316" spans="1:4">
      <c r="A316" t="s">
        <v>27</v>
      </c>
      <c r="B316" t="s">
        <v>17</v>
      </c>
      <c r="C316">
        <v>340.06</v>
      </c>
      <c r="D316">
        <v>395.201</v>
      </c>
    </row>
    <row r="317" spans="1:4">
      <c r="A317" t="s">
        <v>28</v>
      </c>
      <c r="B317" t="s">
        <v>8</v>
      </c>
      <c r="C317">
        <v>190.66</v>
      </c>
      <c r="D317">
        <v>377.426</v>
      </c>
    </row>
    <row r="318" spans="1:4">
      <c r="A318" t="s">
        <v>28</v>
      </c>
      <c r="B318" t="s">
        <v>9</v>
      </c>
      <c r="C318">
        <v>465.16</v>
      </c>
      <c r="D318">
        <v>409.124</v>
      </c>
    </row>
    <row r="319" spans="1:4">
      <c r="A319" t="s">
        <v>28</v>
      </c>
      <c r="B319" t="s">
        <v>10</v>
      </c>
      <c r="C319">
        <v>258.41</v>
      </c>
      <c r="D319">
        <v>385.07</v>
      </c>
    </row>
    <row r="320" spans="1:4">
      <c r="A320" t="s">
        <v>28</v>
      </c>
      <c r="B320" t="s">
        <v>11</v>
      </c>
      <c r="C320">
        <v>192.26</v>
      </c>
      <c r="D320">
        <v>395.6425</v>
      </c>
    </row>
    <row r="321" spans="1:4">
      <c r="A321" t="s">
        <v>28</v>
      </c>
      <c r="B321" t="s">
        <v>12</v>
      </c>
      <c r="C321">
        <v>370.04</v>
      </c>
      <c r="D321">
        <v>386.987</v>
      </c>
    </row>
    <row r="322" spans="1:4">
      <c r="A322" t="s">
        <v>28</v>
      </c>
      <c r="B322" t="s">
        <v>13</v>
      </c>
      <c r="C322">
        <v>489.64</v>
      </c>
      <c r="D322">
        <v>417.3165</v>
      </c>
    </row>
    <row r="323" spans="1:4">
      <c r="A323" t="s">
        <v>28</v>
      </c>
      <c r="B323" t="s">
        <v>14</v>
      </c>
      <c r="C323">
        <v>311.4</v>
      </c>
      <c r="D323">
        <v>413.4335</v>
      </c>
    </row>
    <row r="324" spans="1:4">
      <c r="A324" t="s">
        <v>28</v>
      </c>
      <c r="B324" t="s">
        <v>15</v>
      </c>
      <c r="C324">
        <v>340.01</v>
      </c>
      <c r="D324">
        <v>414.162</v>
      </c>
    </row>
    <row r="325" spans="1:4">
      <c r="A325" t="s">
        <v>28</v>
      </c>
      <c r="B325" t="s">
        <v>16</v>
      </c>
      <c r="C325">
        <v>348.49</v>
      </c>
      <c r="D325">
        <v>388.7165</v>
      </c>
    </row>
    <row r="326" spans="1:4">
      <c r="A326" t="s">
        <v>28</v>
      </c>
      <c r="B326" t="s">
        <v>17</v>
      </c>
      <c r="C326">
        <v>337.42</v>
      </c>
      <c r="D326">
        <v>381.533</v>
      </c>
    </row>
    <row r="327" spans="1:4">
      <c r="A327" t="s">
        <v>28</v>
      </c>
      <c r="B327" t="s">
        <v>8</v>
      </c>
      <c r="C327">
        <v>103.76</v>
      </c>
      <c r="D327">
        <v>385.953</v>
      </c>
    </row>
    <row r="328" spans="1:4">
      <c r="A328" t="s">
        <v>28</v>
      </c>
      <c r="B328" t="s">
        <v>9</v>
      </c>
      <c r="C328">
        <v>308.72</v>
      </c>
      <c r="D328">
        <v>419.077</v>
      </c>
    </row>
    <row r="329" spans="1:4">
      <c r="A329" t="s">
        <v>28</v>
      </c>
      <c r="B329" t="s">
        <v>10</v>
      </c>
      <c r="C329">
        <v>203</v>
      </c>
      <c r="D329">
        <v>380.6365</v>
      </c>
    </row>
    <row r="330" spans="1:4">
      <c r="A330" t="s">
        <v>28</v>
      </c>
      <c r="B330" t="s">
        <v>11</v>
      </c>
      <c r="C330">
        <v>112.43</v>
      </c>
      <c r="D330">
        <v>404.2845</v>
      </c>
    </row>
    <row r="331" spans="1:4">
      <c r="A331" t="s">
        <v>28</v>
      </c>
      <c r="B331" t="s">
        <v>12</v>
      </c>
      <c r="C331">
        <v>121.43</v>
      </c>
      <c r="D331">
        <v>402.3565</v>
      </c>
    </row>
    <row r="332" spans="1:4">
      <c r="A332" t="s">
        <v>28</v>
      </c>
      <c r="B332" t="s">
        <v>13</v>
      </c>
      <c r="C332">
        <v>379.95</v>
      </c>
      <c r="D332">
        <v>415.8615</v>
      </c>
    </row>
    <row r="333" spans="1:4">
      <c r="A333" t="s">
        <v>28</v>
      </c>
      <c r="B333" t="s">
        <v>14</v>
      </c>
      <c r="C333">
        <v>362.48</v>
      </c>
      <c r="D333">
        <v>386.805</v>
      </c>
    </row>
    <row r="334" spans="1:4">
      <c r="A334" t="s">
        <v>28</v>
      </c>
      <c r="B334" t="s">
        <v>15</v>
      </c>
      <c r="C334">
        <v>470.74</v>
      </c>
      <c r="D334">
        <v>412.3965</v>
      </c>
    </row>
    <row r="335" spans="1:4">
      <c r="A335" t="s">
        <v>28</v>
      </c>
      <c r="B335" t="s">
        <v>16</v>
      </c>
      <c r="C335">
        <v>305.26</v>
      </c>
      <c r="D335">
        <v>394.886</v>
      </c>
    </row>
    <row r="336" spans="1:4">
      <c r="A336" t="s">
        <v>28</v>
      </c>
      <c r="B336" t="s">
        <v>17</v>
      </c>
      <c r="C336">
        <v>241.35</v>
      </c>
      <c r="D336">
        <v>382.2055</v>
      </c>
    </row>
    <row r="337" spans="1:4">
      <c r="A337" t="s">
        <v>28</v>
      </c>
      <c r="B337" t="s">
        <v>8</v>
      </c>
      <c r="C337">
        <v>213.14</v>
      </c>
      <c r="D337">
        <v>416.8245</v>
      </c>
    </row>
    <row r="338" spans="1:4">
      <c r="A338" t="s">
        <v>28</v>
      </c>
      <c r="B338" t="s">
        <v>9</v>
      </c>
      <c r="C338">
        <v>237.07</v>
      </c>
      <c r="D338">
        <v>396.3585</v>
      </c>
    </row>
    <row r="339" spans="1:4">
      <c r="A339" t="s">
        <v>28</v>
      </c>
      <c r="B339" t="s">
        <v>10</v>
      </c>
      <c r="C339">
        <v>359.41</v>
      </c>
      <c r="D339">
        <v>410.3005</v>
      </c>
    </row>
    <row r="340" spans="1:4">
      <c r="A340" t="s">
        <v>28</v>
      </c>
      <c r="B340" t="s">
        <v>11</v>
      </c>
      <c r="C340">
        <v>225.18</v>
      </c>
      <c r="D340">
        <v>405.302</v>
      </c>
    </row>
    <row r="341" spans="1:4">
      <c r="A341" t="s">
        <v>28</v>
      </c>
      <c r="B341" t="s">
        <v>12</v>
      </c>
      <c r="C341">
        <v>88.21</v>
      </c>
      <c r="D341">
        <v>399.326</v>
      </c>
    </row>
    <row r="342" spans="1:4">
      <c r="A342" t="s">
        <v>28</v>
      </c>
      <c r="B342" t="s">
        <v>13</v>
      </c>
      <c r="C342">
        <v>325.42</v>
      </c>
      <c r="D342">
        <v>404.85</v>
      </c>
    </row>
    <row r="343" spans="1:4">
      <c r="A343" t="s">
        <v>28</v>
      </c>
      <c r="B343" t="s">
        <v>14</v>
      </c>
      <c r="C343">
        <v>334.97</v>
      </c>
      <c r="D343">
        <v>391.3875</v>
      </c>
    </row>
    <row r="344" spans="1:4">
      <c r="A344" t="s">
        <v>28</v>
      </c>
      <c r="B344" t="s">
        <v>15</v>
      </c>
      <c r="C344">
        <v>298.36</v>
      </c>
      <c r="D344">
        <v>399.223</v>
      </c>
    </row>
    <row r="345" spans="1:4">
      <c r="A345" t="s">
        <v>28</v>
      </c>
      <c r="B345" t="s">
        <v>16</v>
      </c>
      <c r="C345">
        <v>95.44</v>
      </c>
      <c r="D345">
        <v>394.4545</v>
      </c>
    </row>
    <row r="346" spans="1:4">
      <c r="A346" t="s">
        <v>28</v>
      </c>
      <c r="B346" t="s">
        <v>17</v>
      </c>
      <c r="C346">
        <v>401.9</v>
      </c>
      <c r="D346">
        <v>387.4895</v>
      </c>
    </row>
    <row r="347" spans="1:4">
      <c r="A347" t="s">
        <v>28</v>
      </c>
      <c r="B347" t="s">
        <v>8</v>
      </c>
      <c r="C347">
        <v>278.63</v>
      </c>
      <c r="D347">
        <v>395.7735</v>
      </c>
    </row>
  </sheetData>
  <pageMargins left="0.75" right="0.75" top="1" bottom="1" header="0.5" footer="0.5"/>
  <pageSetup paperSize="1" orientation="portrait"/>
  <headerFooter/>
  <ignoredErrors>
    <ignoredError sqref="G4 H3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9"/>
  <sheetViews>
    <sheetView topLeftCell="D1" workbookViewId="0">
      <selection activeCell="I6" sqref="I6"/>
    </sheetView>
  </sheetViews>
  <sheetFormatPr defaultColWidth="9" defaultRowHeight="14.5"/>
  <cols>
    <col min="4" max="4" width="36.5454545454545" customWidth="1"/>
    <col min="5" max="5" width="18.8181818181818" customWidth="1"/>
    <col min="6" max="6" width="25.4545454545455" customWidth="1"/>
    <col min="7" max="7" width="15.1818181818182" customWidth="1"/>
    <col min="10" max="10" width="14" customWidth="1"/>
    <col min="11" max="11" width="14"/>
  </cols>
  <sheetData>
    <row r="1" customFormat="1" spans="1:14">
      <c r="A1" t="s">
        <v>34</v>
      </c>
      <c r="D1" s="72" t="s">
        <v>39</v>
      </c>
    </row>
    <row r="2" customFormat="1" spans="1:14">
      <c r="I2" s="121" t="s">
        <v>65</v>
      </c>
      <c r="J2" s="72"/>
      <c r="K2" s="72"/>
      <c r="L2" s="72"/>
      <c r="M2" s="72"/>
      <c r="N2" s="72"/>
    </row>
    <row r="3" customFormat="1" spans="1:14">
      <c r="A3" s="122" t="s">
        <v>1</v>
      </c>
      <c r="B3" s="122" t="s">
        <v>2</v>
      </c>
      <c r="C3" s="122" t="s">
        <v>3</v>
      </c>
      <c r="D3" s="122" t="s">
        <v>4</v>
      </c>
      <c r="E3" s="122" t="s">
        <v>5</v>
      </c>
      <c r="F3" s="122" t="s">
        <v>50</v>
      </c>
      <c r="G3" s="123" t="s">
        <v>51</v>
      </c>
      <c r="I3" s="124" t="s">
        <v>66</v>
      </c>
      <c r="J3" s="124"/>
      <c r="K3" s="125" cm="1">
        <f t="array" ref="K3">CORREL(D4:D349,F4:F349)</f>
        <v>-0.0800400177075066</v>
      </c>
      <c r="L3" s="124" t="s">
        <v>67</v>
      </c>
      <c r="M3" s="124"/>
      <c r="N3" s="124"/>
    </row>
    <row r="4" customFormat="1" spans="1:14">
      <c r="A4">
        <v>2022</v>
      </c>
      <c r="B4" t="s">
        <v>7</v>
      </c>
      <c r="C4" t="s">
        <v>13</v>
      </c>
      <c r="D4">
        <v>7265</v>
      </c>
      <c r="E4">
        <v>11.64</v>
      </c>
      <c r="F4">
        <v>416.07</v>
      </c>
      <c r="G4">
        <f t="shared" ref="G4:G67" si="0">52.43+(0.05*D4)-(1.15*E4)</f>
        <v>402.294</v>
      </c>
      <c r="I4" s="124" t="s">
        <v>68</v>
      </c>
      <c r="J4" s="124"/>
      <c r="K4" s="125" cm="1">
        <f t="array" ref="K4">CORREL(E4:E349,F4:F349)</f>
        <v>-0.0947471898902442</v>
      </c>
      <c r="L4" s="124" t="s">
        <v>67</v>
      </c>
      <c r="M4" s="124"/>
      <c r="N4" s="124"/>
    </row>
    <row r="5" customFormat="1" spans="1:14">
      <c r="A5">
        <v>2022</v>
      </c>
      <c r="B5" t="s">
        <v>7</v>
      </c>
      <c r="C5" t="s">
        <v>14</v>
      </c>
      <c r="D5">
        <v>7266</v>
      </c>
      <c r="E5">
        <v>25.95</v>
      </c>
      <c r="F5">
        <v>91.93</v>
      </c>
      <c r="G5">
        <f t="shared" si="0"/>
        <v>385.8875</v>
      </c>
    </row>
    <row r="6" customFormat="1" spans="1:14">
      <c r="A6">
        <v>2022</v>
      </c>
      <c r="B6" t="s">
        <v>7</v>
      </c>
      <c r="C6" t="s">
        <v>15</v>
      </c>
      <c r="D6">
        <v>7267</v>
      </c>
      <c r="E6">
        <v>27.34</v>
      </c>
      <c r="F6">
        <v>255.73</v>
      </c>
      <c r="G6">
        <f t="shared" si="0"/>
        <v>384.339</v>
      </c>
      <c r="I6" s="121" t="s">
        <v>69</v>
      </c>
      <c r="J6" s="72"/>
      <c r="K6" s="72"/>
      <c r="L6" s="72"/>
    </row>
    <row r="7" customFormat="1" spans="1:14">
      <c r="A7">
        <v>2022</v>
      </c>
      <c r="B7" t="s">
        <v>7</v>
      </c>
      <c r="C7" t="s">
        <v>16</v>
      </c>
      <c r="D7">
        <v>7268</v>
      </c>
      <c r="E7">
        <v>39.76</v>
      </c>
      <c r="F7">
        <v>341.12</v>
      </c>
      <c r="G7">
        <f t="shared" si="0"/>
        <v>370.106</v>
      </c>
      <c r="I7" s="124" t="s">
        <v>66</v>
      </c>
      <c r="J7" s="124"/>
      <c r="K7" s="126" cm="1">
        <f t="array" ref="K7">RSQ(D4:D349,F4:F349)</f>
        <v>0.00640640443461803</v>
      </c>
      <c r="L7" s="124" t="s">
        <v>70</v>
      </c>
    </row>
    <row r="8" customFormat="1" spans="1:14">
      <c r="A8">
        <v>2022</v>
      </c>
      <c r="B8" t="s">
        <v>7</v>
      </c>
      <c r="C8" t="s">
        <v>17</v>
      </c>
      <c r="D8">
        <v>7269</v>
      </c>
      <c r="E8">
        <v>20.03</v>
      </c>
      <c r="F8">
        <v>488.17</v>
      </c>
      <c r="G8">
        <f t="shared" si="0"/>
        <v>392.8455</v>
      </c>
      <c r="I8" s="124" t="s">
        <v>68</v>
      </c>
      <c r="J8" s="124"/>
      <c r="K8" s="126" cm="1">
        <f t="array" ref="K8">RSQ(E4:E349,F4:F349)</f>
        <v>0.00897702999209811</v>
      </c>
      <c r="L8" s="124" t="s">
        <v>70</v>
      </c>
    </row>
    <row r="9" customFormat="1" spans="1:14">
      <c r="A9">
        <v>2022</v>
      </c>
      <c r="B9" t="s">
        <v>7</v>
      </c>
      <c r="C9" t="s">
        <v>8</v>
      </c>
      <c r="D9">
        <v>7270</v>
      </c>
      <c r="E9">
        <v>17.37</v>
      </c>
      <c r="F9">
        <v>159.28</v>
      </c>
      <c r="G9">
        <f t="shared" si="0"/>
        <v>395.9545</v>
      </c>
    </row>
    <row r="10" customFormat="1" spans="1:14">
      <c r="A10">
        <v>2022</v>
      </c>
      <c r="B10" t="s">
        <v>7</v>
      </c>
      <c r="C10" t="s">
        <v>9</v>
      </c>
      <c r="D10">
        <v>7271</v>
      </c>
      <c r="E10">
        <v>13.23</v>
      </c>
      <c r="F10">
        <v>77.01</v>
      </c>
      <c r="G10">
        <f t="shared" si="0"/>
        <v>400.7655</v>
      </c>
    </row>
    <row r="11" customFormat="1" spans="1:14">
      <c r="A11">
        <v>2022</v>
      </c>
      <c r="B11" t="s">
        <v>7</v>
      </c>
      <c r="C11" t="s">
        <v>10</v>
      </c>
      <c r="D11">
        <v>7272</v>
      </c>
      <c r="E11">
        <v>27.13</v>
      </c>
      <c r="F11">
        <v>430.84</v>
      </c>
      <c r="G11">
        <f t="shared" si="0"/>
        <v>384.8305</v>
      </c>
    </row>
    <row r="12" customFormat="1" spans="1:14">
      <c r="A12">
        <v>2022</v>
      </c>
      <c r="B12" t="s">
        <v>7</v>
      </c>
      <c r="C12" t="s">
        <v>11</v>
      </c>
      <c r="D12">
        <v>7273</v>
      </c>
      <c r="E12">
        <v>37.54</v>
      </c>
      <c r="F12">
        <v>179.51</v>
      </c>
      <c r="G12">
        <f t="shared" si="0"/>
        <v>372.909</v>
      </c>
    </row>
    <row r="13" customFormat="1" spans="1:14">
      <c r="A13">
        <v>2022</v>
      </c>
      <c r="B13" t="s">
        <v>7</v>
      </c>
      <c r="C13" t="s">
        <v>12</v>
      </c>
      <c r="D13">
        <v>7274</v>
      </c>
      <c r="E13">
        <v>12.33</v>
      </c>
      <c r="F13">
        <v>386.66</v>
      </c>
      <c r="G13">
        <f t="shared" si="0"/>
        <v>401.9505</v>
      </c>
    </row>
    <row r="14" customFormat="1" spans="1:14">
      <c r="A14">
        <v>2022</v>
      </c>
      <c r="B14" t="s">
        <v>7</v>
      </c>
      <c r="C14" t="s">
        <v>13</v>
      </c>
      <c r="D14">
        <v>7275</v>
      </c>
      <c r="E14">
        <v>46.61</v>
      </c>
      <c r="F14">
        <v>295.13</v>
      </c>
      <c r="G14">
        <f t="shared" si="0"/>
        <v>362.5785</v>
      </c>
    </row>
    <row r="15" customFormat="1" spans="1:14">
      <c r="A15">
        <v>2022</v>
      </c>
      <c r="B15" t="s">
        <v>7</v>
      </c>
      <c r="C15" t="s">
        <v>14</v>
      </c>
      <c r="D15">
        <v>7276</v>
      </c>
      <c r="E15">
        <v>27.69</v>
      </c>
      <c r="F15">
        <v>399.09</v>
      </c>
      <c r="G15">
        <f t="shared" si="0"/>
        <v>384.3865</v>
      </c>
    </row>
    <row r="16" customFormat="1" spans="1:14">
      <c r="A16">
        <v>2022</v>
      </c>
      <c r="B16" t="s">
        <v>7</v>
      </c>
      <c r="C16" t="s">
        <v>15</v>
      </c>
      <c r="D16">
        <v>7277</v>
      </c>
      <c r="E16">
        <v>19.59</v>
      </c>
      <c r="F16">
        <v>152.33</v>
      </c>
      <c r="G16">
        <f t="shared" si="0"/>
        <v>393.7515</v>
      </c>
    </row>
    <row r="17" customFormat="1" spans="1:7">
      <c r="A17">
        <v>2022</v>
      </c>
      <c r="B17" t="s">
        <v>7</v>
      </c>
      <c r="C17" t="s">
        <v>16</v>
      </c>
      <c r="D17">
        <v>7278</v>
      </c>
      <c r="E17">
        <v>13.75</v>
      </c>
      <c r="F17">
        <v>276.32</v>
      </c>
      <c r="G17">
        <f t="shared" si="0"/>
        <v>400.5175</v>
      </c>
    </row>
    <row r="18" customFormat="1" spans="1:7">
      <c r="A18">
        <v>2022</v>
      </c>
      <c r="B18" t="s">
        <v>7</v>
      </c>
      <c r="C18" t="s">
        <v>17</v>
      </c>
      <c r="D18">
        <v>7279</v>
      </c>
      <c r="E18">
        <v>17.31</v>
      </c>
      <c r="F18">
        <v>300.81</v>
      </c>
      <c r="G18">
        <f t="shared" si="0"/>
        <v>396.4735</v>
      </c>
    </row>
    <row r="19" customFormat="1" spans="1:7">
      <c r="A19">
        <v>2022</v>
      </c>
      <c r="B19" t="s">
        <v>7</v>
      </c>
      <c r="C19" t="s">
        <v>8</v>
      </c>
      <c r="D19">
        <v>7280</v>
      </c>
      <c r="E19">
        <v>47.38</v>
      </c>
      <c r="F19">
        <v>354.32</v>
      </c>
      <c r="G19">
        <f t="shared" si="0"/>
        <v>361.943</v>
      </c>
    </row>
    <row r="20" customFormat="1" spans="1:7">
      <c r="A20">
        <v>2022</v>
      </c>
      <c r="B20" t="s">
        <v>7</v>
      </c>
      <c r="C20" t="s">
        <v>9</v>
      </c>
      <c r="D20">
        <v>7281</v>
      </c>
      <c r="E20">
        <v>35.53</v>
      </c>
      <c r="F20">
        <v>500.55</v>
      </c>
      <c r="G20">
        <f t="shared" si="0"/>
        <v>375.6205</v>
      </c>
    </row>
    <row r="21" customFormat="1" spans="1:7">
      <c r="A21">
        <v>2022</v>
      </c>
      <c r="B21" t="s">
        <v>7</v>
      </c>
      <c r="C21" t="s">
        <v>10</v>
      </c>
      <c r="D21">
        <v>7282</v>
      </c>
      <c r="E21">
        <v>30.67</v>
      </c>
      <c r="F21">
        <v>203.91</v>
      </c>
      <c r="G21">
        <f t="shared" si="0"/>
        <v>381.2595</v>
      </c>
    </row>
    <row r="22" customFormat="1" spans="1:7">
      <c r="A22">
        <v>2022</v>
      </c>
      <c r="B22" t="s">
        <v>7</v>
      </c>
      <c r="C22" t="s">
        <v>11</v>
      </c>
      <c r="D22">
        <v>7283</v>
      </c>
      <c r="E22">
        <v>36.28</v>
      </c>
      <c r="F22">
        <v>432.61</v>
      </c>
      <c r="G22">
        <f t="shared" si="0"/>
        <v>374.858</v>
      </c>
    </row>
    <row r="23" customFormat="1" spans="1:7">
      <c r="A23">
        <v>2022</v>
      </c>
      <c r="B23" t="s">
        <v>7</v>
      </c>
      <c r="C23" t="s">
        <v>12</v>
      </c>
      <c r="D23">
        <v>7284</v>
      </c>
      <c r="E23">
        <v>27.43</v>
      </c>
      <c r="F23">
        <v>206.38</v>
      </c>
      <c r="G23">
        <f t="shared" si="0"/>
        <v>385.0855</v>
      </c>
    </row>
    <row r="24" customFormat="1" spans="1:7">
      <c r="A24">
        <v>2022</v>
      </c>
      <c r="B24" t="s">
        <v>7</v>
      </c>
      <c r="C24" t="s">
        <v>13</v>
      </c>
      <c r="D24">
        <v>7285</v>
      </c>
      <c r="E24">
        <v>39.2</v>
      </c>
      <c r="F24">
        <v>195.63</v>
      </c>
      <c r="G24">
        <f t="shared" si="0"/>
        <v>371.6</v>
      </c>
    </row>
    <row r="25" customFormat="1" spans="1:7">
      <c r="A25">
        <v>2022</v>
      </c>
      <c r="B25" t="s">
        <v>7</v>
      </c>
      <c r="C25" t="s">
        <v>14</v>
      </c>
      <c r="D25">
        <v>7286</v>
      </c>
      <c r="E25">
        <v>11.91</v>
      </c>
      <c r="F25">
        <v>90.89</v>
      </c>
      <c r="G25">
        <f t="shared" si="0"/>
        <v>403.0335</v>
      </c>
    </row>
    <row r="26" customFormat="1" spans="1:7">
      <c r="A26">
        <v>2022</v>
      </c>
      <c r="B26" t="s">
        <v>7</v>
      </c>
      <c r="C26" t="s">
        <v>15</v>
      </c>
      <c r="D26">
        <v>7287</v>
      </c>
      <c r="E26">
        <v>32.64</v>
      </c>
      <c r="F26">
        <v>200.3</v>
      </c>
      <c r="G26">
        <f t="shared" si="0"/>
        <v>379.244</v>
      </c>
    </row>
    <row r="27" customFormat="1" spans="1:7">
      <c r="A27">
        <v>2022</v>
      </c>
      <c r="B27" t="s">
        <v>7</v>
      </c>
      <c r="C27" t="s">
        <v>16</v>
      </c>
      <c r="D27">
        <v>7288</v>
      </c>
      <c r="E27">
        <v>16.35</v>
      </c>
      <c r="F27">
        <v>245.92</v>
      </c>
      <c r="G27">
        <f t="shared" si="0"/>
        <v>398.0275</v>
      </c>
    </row>
    <row r="28" customFormat="1" spans="1:7">
      <c r="A28">
        <v>2022</v>
      </c>
      <c r="B28" t="s">
        <v>7</v>
      </c>
      <c r="C28" t="s">
        <v>17</v>
      </c>
      <c r="D28">
        <v>7289</v>
      </c>
      <c r="E28">
        <v>14.81</v>
      </c>
      <c r="F28">
        <v>315.35</v>
      </c>
      <c r="G28">
        <f t="shared" si="0"/>
        <v>399.8485</v>
      </c>
    </row>
    <row r="29" customFormat="1" spans="1:7">
      <c r="A29">
        <v>2022</v>
      </c>
      <c r="B29" t="s">
        <v>7</v>
      </c>
      <c r="C29" t="s">
        <v>8</v>
      </c>
      <c r="D29">
        <v>7290</v>
      </c>
      <c r="E29">
        <v>23.68</v>
      </c>
      <c r="F29">
        <v>184.18</v>
      </c>
      <c r="G29">
        <f t="shared" si="0"/>
        <v>389.698</v>
      </c>
    </row>
    <row r="30" customFormat="1" spans="1:7">
      <c r="A30">
        <v>2022</v>
      </c>
      <c r="B30" t="s">
        <v>18</v>
      </c>
      <c r="C30" t="s">
        <v>9</v>
      </c>
      <c r="D30">
        <v>7291</v>
      </c>
      <c r="E30">
        <v>13.67</v>
      </c>
      <c r="F30">
        <v>436.6</v>
      </c>
      <c r="G30">
        <f t="shared" si="0"/>
        <v>401.2595</v>
      </c>
    </row>
    <row r="31" customFormat="1" spans="1:7">
      <c r="A31">
        <v>2022</v>
      </c>
      <c r="B31" t="s">
        <v>18</v>
      </c>
      <c r="C31" t="s">
        <v>10</v>
      </c>
      <c r="D31">
        <v>7292</v>
      </c>
      <c r="E31">
        <v>13.77</v>
      </c>
      <c r="F31">
        <v>131.87</v>
      </c>
      <c r="G31">
        <f t="shared" si="0"/>
        <v>401.1945</v>
      </c>
    </row>
    <row r="32" customFormat="1" spans="1:7">
      <c r="A32">
        <v>2022</v>
      </c>
      <c r="B32" t="s">
        <v>18</v>
      </c>
      <c r="C32" t="s">
        <v>11</v>
      </c>
      <c r="D32">
        <v>7293</v>
      </c>
      <c r="E32">
        <v>22.46</v>
      </c>
      <c r="F32">
        <v>106.68</v>
      </c>
      <c r="G32">
        <f t="shared" si="0"/>
        <v>391.251</v>
      </c>
    </row>
    <row r="33" customFormat="1" spans="1:7">
      <c r="A33">
        <v>2022</v>
      </c>
      <c r="B33" t="s">
        <v>18</v>
      </c>
      <c r="C33" t="s">
        <v>12</v>
      </c>
      <c r="D33">
        <v>7294</v>
      </c>
      <c r="E33">
        <v>49.18</v>
      </c>
      <c r="F33">
        <v>258.72</v>
      </c>
      <c r="G33">
        <f t="shared" si="0"/>
        <v>360.573</v>
      </c>
    </row>
    <row r="34" customFormat="1" spans="1:7">
      <c r="A34">
        <v>2022</v>
      </c>
      <c r="B34" t="s">
        <v>18</v>
      </c>
      <c r="C34" t="s">
        <v>13</v>
      </c>
      <c r="D34">
        <v>7295</v>
      </c>
      <c r="E34">
        <v>17.01</v>
      </c>
      <c r="F34">
        <v>313.76</v>
      </c>
      <c r="G34">
        <f t="shared" si="0"/>
        <v>397.6185</v>
      </c>
    </row>
    <row r="35" customFormat="1" spans="1:7">
      <c r="A35">
        <v>2022</v>
      </c>
      <c r="B35" t="s">
        <v>18</v>
      </c>
      <c r="C35" t="s">
        <v>14</v>
      </c>
      <c r="D35">
        <v>7296</v>
      </c>
      <c r="E35">
        <v>10.69</v>
      </c>
      <c r="F35">
        <v>541.61</v>
      </c>
      <c r="G35">
        <f t="shared" si="0"/>
        <v>404.9365</v>
      </c>
    </row>
    <row r="36" customFormat="1" spans="1:7">
      <c r="A36">
        <v>2022</v>
      </c>
      <c r="B36" t="s">
        <v>18</v>
      </c>
      <c r="C36" t="s">
        <v>15</v>
      </c>
      <c r="D36">
        <v>7297</v>
      </c>
      <c r="E36">
        <v>40.53</v>
      </c>
      <c r="F36">
        <v>300.76</v>
      </c>
      <c r="G36">
        <f t="shared" si="0"/>
        <v>370.6705</v>
      </c>
    </row>
    <row r="37" customFormat="1" spans="1:7">
      <c r="A37">
        <v>2022</v>
      </c>
      <c r="B37" t="s">
        <v>18</v>
      </c>
      <c r="C37" t="s">
        <v>16</v>
      </c>
      <c r="D37">
        <v>7298</v>
      </c>
      <c r="E37">
        <v>42.28</v>
      </c>
      <c r="F37">
        <v>536.67</v>
      </c>
      <c r="G37">
        <f t="shared" si="0"/>
        <v>368.708</v>
      </c>
    </row>
    <row r="38" customFormat="1" spans="1:7">
      <c r="A38">
        <v>2022</v>
      </c>
      <c r="B38" t="s">
        <v>18</v>
      </c>
      <c r="C38" t="s">
        <v>17</v>
      </c>
      <c r="D38">
        <v>7299</v>
      </c>
      <c r="E38">
        <v>23.85</v>
      </c>
      <c r="F38">
        <v>480.94</v>
      </c>
      <c r="G38">
        <f t="shared" si="0"/>
        <v>389.9525</v>
      </c>
    </row>
    <row r="39" customFormat="1" spans="1:7">
      <c r="A39">
        <v>2022</v>
      </c>
      <c r="B39" t="s">
        <v>18</v>
      </c>
      <c r="C39" t="s">
        <v>8</v>
      </c>
      <c r="D39">
        <v>7300</v>
      </c>
      <c r="E39">
        <v>28.59</v>
      </c>
      <c r="F39">
        <v>437.08</v>
      </c>
      <c r="G39">
        <f t="shared" si="0"/>
        <v>384.5515</v>
      </c>
    </row>
    <row r="40" customFormat="1" spans="1:7">
      <c r="A40">
        <v>2022</v>
      </c>
      <c r="B40" t="s">
        <v>18</v>
      </c>
      <c r="C40" t="s">
        <v>9</v>
      </c>
      <c r="D40">
        <v>7301</v>
      </c>
      <c r="E40">
        <v>35.99</v>
      </c>
      <c r="F40">
        <v>190.6</v>
      </c>
      <c r="G40">
        <f t="shared" si="0"/>
        <v>376.0915</v>
      </c>
    </row>
    <row r="41" customFormat="1" spans="1:7">
      <c r="A41">
        <v>2022</v>
      </c>
      <c r="B41" t="s">
        <v>18</v>
      </c>
      <c r="C41" t="s">
        <v>10</v>
      </c>
      <c r="D41">
        <v>7302</v>
      </c>
      <c r="E41">
        <v>11.92</v>
      </c>
      <c r="F41">
        <v>446.77</v>
      </c>
      <c r="G41">
        <f t="shared" si="0"/>
        <v>403.822</v>
      </c>
    </row>
    <row r="42" customFormat="1" spans="1:7">
      <c r="A42">
        <v>2022</v>
      </c>
      <c r="B42" t="s">
        <v>18</v>
      </c>
      <c r="C42" t="s">
        <v>11</v>
      </c>
      <c r="D42">
        <v>7303</v>
      </c>
      <c r="E42">
        <v>47.97</v>
      </c>
      <c r="F42">
        <v>367.07</v>
      </c>
      <c r="G42">
        <f t="shared" si="0"/>
        <v>362.4145</v>
      </c>
    </row>
    <row r="43" customFormat="1" spans="1:7">
      <c r="A43">
        <v>2022</v>
      </c>
      <c r="B43" t="s">
        <v>18</v>
      </c>
      <c r="C43" t="s">
        <v>12</v>
      </c>
      <c r="D43">
        <v>7304</v>
      </c>
      <c r="E43">
        <v>45.47</v>
      </c>
      <c r="F43">
        <v>333.42</v>
      </c>
      <c r="G43">
        <f t="shared" si="0"/>
        <v>365.3395</v>
      </c>
    </row>
    <row r="44" customFormat="1" spans="1:7">
      <c r="A44">
        <v>2022</v>
      </c>
      <c r="B44" t="s">
        <v>18</v>
      </c>
      <c r="C44" t="s">
        <v>13</v>
      </c>
      <c r="D44">
        <v>7305</v>
      </c>
      <c r="E44">
        <v>20.44</v>
      </c>
      <c r="F44">
        <v>427.54</v>
      </c>
      <c r="G44">
        <f t="shared" si="0"/>
        <v>394.174</v>
      </c>
    </row>
    <row r="45" customFormat="1" spans="1:7">
      <c r="A45">
        <v>2022</v>
      </c>
      <c r="B45" t="s">
        <v>18</v>
      </c>
      <c r="C45" t="s">
        <v>14</v>
      </c>
      <c r="D45">
        <v>7306</v>
      </c>
      <c r="E45">
        <v>10.61</v>
      </c>
      <c r="F45">
        <v>139.38</v>
      </c>
      <c r="G45">
        <f t="shared" si="0"/>
        <v>405.5285</v>
      </c>
    </row>
    <row r="46" customFormat="1" spans="1:7">
      <c r="A46">
        <v>2022</v>
      </c>
      <c r="B46" t="s">
        <v>18</v>
      </c>
      <c r="C46" t="s">
        <v>15</v>
      </c>
      <c r="D46">
        <v>7307</v>
      </c>
      <c r="E46">
        <v>47.34</v>
      </c>
      <c r="F46">
        <v>450.71</v>
      </c>
      <c r="G46">
        <f t="shared" si="0"/>
        <v>363.339</v>
      </c>
    </row>
    <row r="47" customFormat="1" spans="1:7">
      <c r="A47">
        <v>2022</v>
      </c>
      <c r="B47" t="s">
        <v>18</v>
      </c>
      <c r="C47" t="s">
        <v>16</v>
      </c>
      <c r="D47">
        <v>7308</v>
      </c>
      <c r="E47">
        <v>30.04</v>
      </c>
      <c r="F47">
        <v>233.14</v>
      </c>
      <c r="G47">
        <f t="shared" si="0"/>
        <v>383.284</v>
      </c>
    </row>
    <row r="48" customFormat="1" spans="1:7">
      <c r="A48">
        <v>2022</v>
      </c>
      <c r="B48" t="s">
        <v>18</v>
      </c>
      <c r="C48" t="s">
        <v>17</v>
      </c>
      <c r="D48">
        <v>7309</v>
      </c>
      <c r="E48">
        <v>31.58</v>
      </c>
      <c r="F48">
        <v>151.31</v>
      </c>
      <c r="G48">
        <f t="shared" si="0"/>
        <v>381.563</v>
      </c>
    </row>
    <row r="49" customFormat="1" spans="1:7">
      <c r="A49">
        <v>2022</v>
      </c>
      <c r="B49" t="s">
        <v>18</v>
      </c>
      <c r="C49" t="s">
        <v>8</v>
      </c>
      <c r="D49">
        <v>7310</v>
      </c>
      <c r="E49">
        <v>37.36</v>
      </c>
      <c r="F49">
        <v>267.58</v>
      </c>
      <c r="G49">
        <f t="shared" si="0"/>
        <v>374.966</v>
      </c>
    </row>
    <row r="50" customFormat="1" spans="1:7">
      <c r="A50">
        <v>2022</v>
      </c>
      <c r="B50" t="s">
        <v>18</v>
      </c>
      <c r="C50" t="s">
        <v>9</v>
      </c>
      <c r="D50">
        <v>7311</v>
      </c>
      <c r="E50">
        <v>34.63</v>
      </c>
      <c r="F50">
        <v>448.95</v>
      </c>
      <c r="G50">
        <f t="shared" si="0"/>
        <v>378.1555</v>
      </c>
    </row>
    <row r="51" customFormat="1" spans="1:7">
      <c r="A51">
        <v>2022</v>
      </c>
      <c r="B51" t="s">
        <v>18</v>
      </c>
      <c r="C51" t="s">
        <v>10</v>
      </c>
      <c r="D51">
        <v>7312</v>
      </c>
      <c r="E51">
        <v>47.76</v>
      </c>
      <c r="F51">
        <v>187.49</v>
      </c>
      <c r="G51">
        <f t="shared" si="0"/>
        <v>363.106</v>
      </c>
    </row>
    <row r="52" customFormat="1" spans="1:7">
      <c r="A52">
        <v>2022</v>
      </c>
      <c r="B52" t="s">
        <v>18</v>
      </c>
      <c r="C52" t="s">
        <v>11</v>
      </c>
      <c r="D52">
        <v>7313</v>
      </c>
      <c r="E52">
        <v>47.77</v>
      </c>
      <c r="F52">
        <v>102.9</v>
      </c>
      <c r="G52">
        <f t="shared" si="0"/>
        <v>363.1445</v>
      </c>
    </row>
    <row r="53" customFormat="1" spans="1:7">
      <c r="A53">
        <v>2022</v>
      </c>
      <c r="B53" t="s">
        <v>18</v>
      </c>
      <c r="C53" t="s">
        <v>12</v>
      </c>
      <c r="D53">
        <v>7314</v>
      </c>
      <c r="E53">
        <v>44.69</v>
      </c>
      <c r="F53">
        <v>251.59</v>
      </c>
      <c r="G53">
        <f t="shared" si="0"/>
        <v>366.7365</v>
      </c>
    </row>
    <row r="54" customFormat="1" spans="1:7">
      <c r="A54">
        <v>2022</v>
      </c>
      <c r="B54" t="s">
        <v>18</v>
      </c>
      <c r="C54" t="s">
        <v>13</v>
      </c>
      <c r="D54">
        <v>7315</v>
      </c>
      <c r="E54">
        <v>35.46</v>
      </c>
      <c r="F54">
        <v>431.08</v>
      </c>
      <c r="G54">
        <f t="shared" si="0"/>
        <v>377.401</v>
      </c>
    </row>
    <row r="55" customFormat="1" spans="1:7">
      <c r="A55">
        <v>2022</v>
      </c>
      <c r="B55" t="s">
        <v>18</v>
      </c>
      <c r="C55" t="s">
        <v>14</v>
      </c>
      <c r="D55">
        <v>7316</v>
      </c>
      <c r="E55">
        <v>42.04</v>
      </c>
      <c r="F55">
        <v>387.72</v>
      </c>
      <c r="G55">
        <f t="shared" si="0"/>
        <v>369.884</v>
      </c>
    </row>
    <row r="56" customFormat="1" spans="1:7">
      <c r="A56">
        <v>2022</v>
      </c>
      <c r="B56" t="s">
        <v>18</v>
      </c>
      <c r="C56" t="s">
        <v>15</v>
      </c>
      <c r="D56">
        <v>7317</v>
      </c>
      <c r="E56">
        <v>37.09</v>
      </c>
      <c r="F56">
        <v>351.41</v>
      </c>
      <c r="G56">
        <f t="shared" si="0"/>
        <v>375.6265</v>
      </c>
    </row>
    <row r="57" customFormat="1" spans="1:7">
      <c r="A57">
        <v>2022</v>
      </c>
      <c r="B57" t="s">
        <v>18</v>
      </c>
      <c r="C57" t="s">
        <v>16</v>
      </c>
      <c r="D57">
        <v>7318</v>
      </c>
      <c r="E57">
        <v>32.93</v>
      </c>
      <c r="F57">
        <v>102.71</v>
      </c>
      <c r="G57">
        <f t="shared" si="0"/>
        <v>380.4605</v>
      </c>
    </row>
    <row r="58" customFormat="1" spans="1:7">
      <c r="A58">
        <v>2022</v>
      </c>
      <c r="B58" t="s">
        <v>19</v>
      </c>
      <c r="C58" t="s">
        <v>17</v>
      </c>
      <c r="D58">
        <v>7319</v>
      </c>
      <c r="E58">
        <v>15.14</v>
      </c>
      <c r="F58">
        <v>313.18</v>
      </c>
      <c r="G58">
        <f t="shared" si="0"/>
        <v>400.969</v>
      </c>
    </row>
    <row r="59" customFormat="1" spans="1:7">
      <c r="A59">
        <v>2022</v>
      </c>
      <c r="B59" t="s">
        <v>19</v>
      </c>
      <c r="C59" t="s">
        <v>8</v>
      </c>
      <c r="D59">
        <v>7320</v>
      </c>
      <c r="E59">
        <v>42.45</v>
      </c>
      <c r="F59">
        <v>134.26</v>
      </c>
      <c r="G59">
        <f t="shared" si="0"/>
        <v>369.6125</v>
      </c>
    </row>
    <row r="60" customFormat="1" spans="1:7">
      <c r="A60">
        <v>2022</v>
      </c>
      <c r="B60" t="s">
        <v>19</v>
      </c>
      <c r="C60" t="s">
        <v>9</v>
      </c>
      <c r="D60">
        <v>7321</v>
      </c>
      <c r="E60">
        <v>42.83</v>
      </c>
      <c r="F60">
        <v>422.09</v>
      </c>
      <c r="G60">
        <f t="shared" si="0"/>
        <v>369.2255</v>
      </c>
    </row>
    <row r="61" customFormat="1" spans="1:7">
      <c r="A61">
        <v>2022</v>
      </c>
      <c r="B61" t="s">
        <v>19</v>
      </c>
      <c r="C61" t="s">
        <v>10</v>
      </c>
      <c r="D61">
        <v>7322</v>
      </c>
      <c r="E61">
        <v>35.04</v>
      </c>
      <c r="F61">
        <v>113.76</v>
      </c>
      <c r="G61">
        <f t="shared" si="0"/>
        <v>378.234</v>
      </c>
    </row>
    <row r="62" customFormat="1" spans="1:7">
      <c r="A62">
        <v>2022</v>
      </c>
      <c r="B62" t="s">
        <v>19</v>
      </c>
      <c r="C62" t="s">
        <v>11</v>
      </c>
      <c r="D62">
        <v>7323</v>
      </c>
      <c r="E62">
        <v>42.82</v>
      </c>
      <c r="F62">
        <v>458.18</v>
      </c>
      <c r="G62">
        <f t="shared" si="0"/>
        <v>369.337</v>
      </c>
    </row>
    <row r="63" customFormat="1" spans="1:7">
      <c r="A63">
        <v>2022</v>
      </c>
      <c r="B63" t="s">
        <v>19</v>
      </c>
      <c r="C63" t="s">
        <v>12</v>
      </c>
      <c r="D63">
        <v>7324</v>
      </c>
      <c r="E63">
        <v>36.06</v>
      </c>
      <c r="F63">
        <v>332.15</v>
      </c>
      <c r="G63">
        <f t="shared" si="0"/>
        <v>377.161</v>
      </c>
    </row>
    <row r="64" customFormat="1" spans="1:7">
      <c r="A64">
        <v>2022</v>
      </c>
      <c r="B64" t="s">
        <v>19</v>
      </c>
      <c r="C64" t="s">
        <v>13</v>
      </c>
      <c r="D64">
        <v>7325</v>
      </c>
      <c r="E64">
        <v>18.27</v>
      </c>
      <c r="F64">
        <v>502.9</v>
      </c>
      <c r="G64">
        <f t="shared" si="0"/>
        <v>397.6695</v>
      </c>
    </row>
    <row r="65" customFormat="1" spans="1:7">
      <c r="A65">
        <v>2022</v>
      </c>
      <c r="B65" t="s">
        <v>19</v>
      </c>
      <c r="C65" t="s">
        <v>14</v>
      </c>
      <c r="D65">
        <v>7326</v>
      </c>
      <c r="E65">
        <v>20.96</v>
      </c>
      <c r="F65">
        <v>380.78</v>
      </c>
      <c r="G65">
        <f t="shared" si="0"/>
        <v>394.626</v>
      </c>
    </row>
    <row r="66" customFormat="1" spans="1:7">
      <c r="A66">
        <v>2022</v>
      </c>
      <c r="B66" t="s">
        <v>19</v>
      </c>
      <c r="C66" t="s">
        <v>15</v>
      </c>
      <c r="D66">
        <v>7327</v>
      </c>
      <c r="E66">
        <v>18.58</v>
      </c>
      <c r="F66">
        <v>493.44</v>
      </c>
      <c r="G66">
        <f t="shared" si="0"/>
        <v>397.413</v>
      </c>
    </row>
    <row r="67" customFormat="1" spans="1:7">
      <c r="A67">
        <v>2022</v>
      </c>
      <c r="B67" t="s">
        <v>19</v>
      </c>
      <c r="C67" t="s">
        <v>16</v>
      </c>
      <c r="D67">
        <v>7328</v>
      </c>
      <c r="E67">
        <v>25.09</v>
      </c>
      <c r="F67">
        <v>510.08</v>
      </c>
      <c r="G67">
        <f t="shared" si="0"/>
        <v>389.9765</v>
      </c>
    </row>
    <row r="68" customFormat="1" spans="1:7">
      <c r="A68">
        <v>2022</v>
      </c>
      <c r="B68" t="s">
        <v>19</v>
      </c>
      <c r="C68" t="s">
        <v>17</v>
      </c>
      <c r="D68">
        <v>7329</v>
      </c>
      <c r="E68">
        <v>11.56</v>
      </c>
      <c r="F68">
        <v>83.24</v>
      </c>
      <c r="G68">
        <f t="shared" ref="G68:G131" si="1">52.43+(0.05*D68)-(1.15*E68)</f>
        <v>405.586</v>
      </c>
    </row>
    <row r="69" customFormat="1" spans="1:7">
      <c r="A69">
        <v>2022</v>
      </c>
      <c r="B69" t="s">
        <v>19</v>
      </c>
      <c r="C69" t="s">
        <v>8</v>
      </c>
      <c r="D69">
        <v>7330</v>
      </c>
      <c r="E69">
        <v>34.73</v>
      </c>
      <c r="F69">
        <v>256.89</v>
      </c>
      <c r="G69">
        <f t="shared" si="1"/>
        <v>378.9905</v>
      </c>
    </row>
    <row r="70" customFormat="1" spans="1:7">
      <c r="A70">
        <v>2022</v>
      </c>
      <c r="B70" t="s">
        <v>19</v>
      </c>
      <c r="C70" t="s">
        <v>9</v>
      </c>
      <c r="D70">
        <v>7331</v>
      </c>
      <c r="E70">
        <v>23.46</v>
      </c>
      <c r="F70">
        <v>343.45</v>
      </c>
      <c r="G70">
        <f t="shared" si="1"/>
        <v>392.001</v>
      </c>
    </row>
    <row r="71" customFormat="1" spans="1:7">
      <c r="A71">
        <v>2022</v>
      </c>
      <c r="B71" t="s">
        <v>19</v>
      </c>
      <c r="C71" t="s">
        <v>10</v>
      </c>
      <c r="D71">
        <v>7332</v>
      </c>
      <c r="E71">
        <v>36.23</v>
      </c>
      <c r="F71">
        <v>397.37</v>
      </c>
      <c r="G71">
        <f t="shared" si="1"/>
        <v>377.3655</v>
      </c>
    </row>
    <row r="72" customFormat="1" spans="1:7">
      <c r="A72">
        <v>2022</v>
      </c>
      <c r="B72" t="s">
        <v>19</v>
      </c>
      <c r="C72" t="s">
        <v>11</v>
      </c>
      <c r="D72">
        <v>7333</v>
      </c>
      <c r="E72">
        <v>25.42</v>
      </c>
      <c r="F72">
        <v>480.43</v>
      </c>
      <c r="G72">
        <f t="shared" si="1"/>
        <v>389.847</v>
      </c>
    </row>
    <row r="73" customFormat="1" spans="1:7">
      <c r="A73">
        <v>2022</v>
      </c>
      <c r="B73" t="s">
        <v>19</v>
      </c>
      <c r="C73" t="s">
        <v>12</v>
      </c>
      <c r="D73">
        <v>7334</v>
      </c>
      <c r="E73">
        <v>37.26</v>
      </c>
      <c r="F73">
        <v>471.84</v>
      </c>
      <c r="G73">
        <f t="shared" si="1"/>
        <v>376.281</v>
      </c>
    </row>
    <row r="74" customFormat="1" spans="1:7">
      <c r="A74">
        <v>2022</v>
      </c>
      <c r="B74" t="s">
        <v>19</v>
      </c>
      <c r="C74" t="s">
        <v>13</v>
      </c>
      <c r="D74">
        <v>7335</v>
      </c>
      <c r="E74">
        <v>23.62</v>
      </c>
      <c r="F74">
        <v>442.3</v>
      </c>
      <c r="G74">
        <f t="shared" si="1"/>
        <v>392.017</v>
      </c>
    </row>
    <row r="75" customFormat="1" spans="1:7">
      <c r="A75">
        <v>2022</v>
      </c>
      <c r="B75" t="s">
        <v>19</v>
      </c>
      <c r="C75" t="s">
        <v>14</v>
      </c>
      <c r="D75">
        <v>7336</v>
      </c>
      <c r="E75">
        <v>20.43</v>
      </c>
      <c r="F75">
        <v>339.03</v>
      </c>
      <c r="G75">
        <f t="shared" si="1"/>
        <v>395.7355</v>
      </c>
    </row>
    <row r="76" customFormat="1" spans="1:7">
      <c r="A76">
        <v>2022</v>
      </c>
      <c r="B76" t="s">
        <v>19</v>
      </c>
      <c r="C76" t="s">
        <v>15</v>
      </c>
      <c r="D76">
        <v>7337</v>
      </c>
      <c r="E76">
        <v>29.84</v>
      </c>
      <c r="F76">
        <v>188.38</v>
      </c>
      <c r="G76">
        <f t="shared" si="1"/>
        <v>384.964</v>
      </c>
    </row>
    <row r="77" customFormat="1" spans="1:7">
      <c r="A77">
        <v>2022</v>
      </c>
      <c r="B77" t="s">
        <v>19</v>
      </c>
      <c r="C77" t="s">
        <v>16</v>
      </c>
      <c r="D77">
        <v>7338</v>
      </c>
      <c r="E77">
        <v>37.72</v>
      </c>
      <c r="F77">
        <v>67.53</v>
      </c>
      <c r="G77">
        <f t="shared" si="1"/>
        <v>375.952</v>
      </c>
    </row>
    <row r="78" customFormat="1" spans="1:7">
      <c r="A78">
        <v>2022</v>
      </c>
      <c r="B78" t="s">
        <v>19</v>
      </c>
      <c r="C78" t="s">
        <v>17</v>
      </c>
      <c r="D78">
        <v>7339</v>
      </c>
      <c r="E78">
        <v>23.93</v>
      </c>
      <c r="F78">
        <v>503.24</v>
      </c>
      <c r="G78">
        <f t="shared" si="1"/>
        <v>391.8605</v>
      </c>
    </row>
    <row r="79" customFormat="1" spans="1:7">
      <c r="A79">
        <v>2022</v>
      </c>
      <c r="B79" t="s">
        <v>19</v>
      </c>
      <c r="C79" t="s">
        <v>8</v>
      </c>
      <c r="D79">
        <v>7340</v>
      </c>
      <c r="E79">
        <v>47.47</v>
      </c>
      <c r="F79">
        <v>190.84</v>
      </c>
      <c r="G79">
        <f t="shared" si="1"/>
        <v>364.8395</v>
      </c>
    </row>
    <row r="80" customFormat="1" spans="1:7">
      <c r="A80">
        <v>2022</v>
      </c>
      <c r="B80" t="s">
        <v>19</v>
      </c>
      <c r="C80" t="s">
        <v>9</v>
      </c>
      <c r="D80">
        <v>7341</v>
      </c>
      <c r="E80">
        <v>11.57</v>
      </c>
      <c r="F80">
        <v>373.68</v>
      </c>
      <c r="G80">
        <f t="shared" si="1"/>
        <v>406.1745</v>
      </c>
    </row>
    <row r="81" customFormat="1" spans="1:7">
      <c r="A81">
        <v>2022</v>
      </c>
      <c r="B81" t="s">
        <v>19</v>
      </c>
      <c r="C81" t="s">
        <v>10</v>
      </c>
      <c r="D81">
        <v>7342</v>
      </c>
      <c r="E81">
        <v>26.72</v>
      </c>
      <c r="F81">
        <v>162.25</v>
      </c>
      <c r="G81">
        <f t="shared" si="1"/>
        <v>388.802</v>
      </c>
    </row>
    <row r="82" customFormat="1" spans="1:7">
      <c r="A82">
        <v>2022</v>
      </c>
      <c r="B82" t="s">
        <v>19</v>
      </c>
      <c r="C82" t="s">
        <v>11</v>
      </c>
      <c r="D82">
        <v>7343</v>
      </c>
      <c r="E82">
        <v>48.7</v>
      </c>
      <c r="F82">
        <v>167.8</v>
      </c>
      <c r="G82">
        <f t="shared" si="1"/>
        <v>363.575</v>
      </c>
    </row>
    <row r="83" customFormat="1" spans="1:7">
      <c r="A83">
        <v>2022</v>
      </c>
      <c r="B83" t="s">
        <v>19</v>
      </c>
      <c r="C83" t="s">
        <v>12</v>
      </c>
      <c r="D83">
        <v>7344</v>
      </c>
      <c r="E83">
        <v>31.92</v>
      </c>
      <c r="F83">
        <v>323.56</v>
      </c>
      <c r="G83">
        <f t="shared" si="1"/>
        <v>382.922</v>
      </c>
    </row>
    <row r="84" customFormat="1" spans="1:7">
      <c r="A84">
        <v>2022</v>
      </c>
      <c r="B84" t="s">
        <v>19</v>
      </c>
      <c r="C84" t="s">
        <v>13</v>
      </c>
      <c r="D84">
        <v>7345</v>
      </c>
      <c r="E84">
        <v>26.94</v>
      </c>
      <c r="F84">
        <v>385.39</v>
      </c>
      <c r="G84">
        <f t="shared" si="1"/>
        <v>388.699</v>
      </c>
    </row>
    <row r="85" customFormat="1" spans="1:7">
      <c r="A85">
        <v>2022</v>
      </c>
      <c r="B85" t="s">
        <v>19</v>
      </c>
      <c r="C85" t="s">
        <v>14</v>
      </c>
      <c r="D85">
        <v>7346</v>
      </c>
      <c r="E85">
        <v>32.74</v>
      </c>
      <c r="F85">
        <v>389.39</v>
      </c>
      <c r="G85">
        <f t="shared" si="1"/>
        <v>382.079</v>
      </c>
    </row>
    <row r="86" customFormat="1" spans="1:7">
      <c r="A86">
        <v>2022</v>
      </c>
      <c r="B86" t="s">
        <v>19</v>
      </c>
      <c r="C86" t="s">
        <v>15</v>
      </c>
      <c r="D86">
        <v>7347</v>
      </c>
      <c r="E86">
        <v>33.04</v>
      </c>
      <c r="F86">
        <v>85.12</v>
      </c>
      <c r="G86">
        <f t="shared" si="1"/>
        <v>381.784</v>
      </c>
    </row>
    <row r="87" customFormat="1" spans="1:7">
      <c r="A87">
        <v>2022</v>
      </c>
      <c r="B87" t="s">
        <v>19</v>
      </c>
      <c r="C87" t="s">
        <v>16</v>
      </c>
      <c r="D87">
        <v>7348</v>
      </c>
      <c r="E87">
        <v>39.27</v>
      </c>
      <c r="F87">
        <v>302.58</v>
      </c>
      <c r="G87">
        <f t="shared" si="1"/>
        <v>374.6695</v>
      </c>
    </row>
    <row r="88" customFormat="1" spans="1:7">
      <c r="A88">
        <v>2022</v>
      </c>
      <c r="B88" t="s">
        <v>19</v>
      </c>
      <c r="C88" t="s">
        <v>17</v>
      </c>
      <c r="D88">
        <v>7349</v>
      </c>
      <c r="E88">
        <v>15.11</v>
      </c>
      <c r="F88">
        <v>273.44</v>
      </c>
      <c r="G88">
        <f t="shared" si="1"/>
        <v>402.5035</v>
      </c>
    </row>
    <row r="89" customFormat="1" spans="1:7">
      <c r="A89">
        <v>2022</v>
      </c>
      <c r="B89" t="s">
        <v>20</v>
      </c>
      <c r="C89" t="s">
        <v>8</v>
      </c>
      <c r="D89">
        <v>7350</v>
      </c>
      <c r="E89">
        <v>20</v>
      </c>
      <c r="F89">
        <v>430.34</v>
      </c>
      <c r="G89">
        <f t="shared" si="1"/>
        <v>396.93</v>
      </c>
    </row>
    <row r="90" customFormat="1" spans="1:7">
      <c r="A90">
        <v>2022</v>
      </c>
      <c r="B90" t="s">
        <v>20</v>
      </c>
      <c r="C90" t="s">
        <v>9</v>
      </c>
      <c r="D90">
        <v>7351</v>
      </c>
      <c r="E90">
        <v>33.22</v>
      </c>
      <c r="F90">
        <v>196.41</v>
      </c>
      <c r="G90">
        <f t="shared" si="1"/>
        <v>381.777</v>
      </c>
    </row>
    <row r="91" customFormat="1" spans="1:7">
      <c r="A91">
        <v>2022</v>
      </c>
      <c r="B91" t="s">
        <v>20</v>
      </c>
      <c r="C91" t="s">
        <v>10</v>
      </c>
      <c r="D91">
        <v>7352</v>
      </c>
      <c r="E91">
        <v>44.68</v>
      </c>
      <c r="F91">
        <v>423.77</v>
      </c>
      <c r="G91">
        <f t="shared" si="1"/>
        <v>368.648</v>
      </c>
    </row>
    <row r="92" customFormat="1" spans="1:7">
      <c r="A92">
        <v>2022</v>
      </c>
      <c r="B92" t="s">
        <v>20</v>
      </c>
      <c r="C92" t="s">
        <v>11</v>
      </c>
      <c r="D92">
        <v>7353</v>
      </c>
      <c r="E92">
        <v>32.47</v>
      </c>
      <c r="F92">
        <v>484.28</v>
      </c>
      <c r="G92">
        <f t="shared" si="1"/>
        <v>382.7395</v>
      </c>
    </row>
    <row r="93" customFormat="1" spans="1:7">
      <c r="A93">
        <v>2022</v>
      </c>
      <c r="B93" t="s">
        <v>20</v>
      </c>
      <c r="C93" t="s">
        <v>12</v>
      </c>
      <c r="D93">
        <v>7354</v>
      </c>
      <c r="E93">
        <v>19.54</v>
      </c>
      <c r="F93">
        <v>180.29</v>
      </c>
      <c r="G93">
        <f t="shared" si="1"/>
        <v>397.659</v>
      </c>
    </row>
    <row r="94" customFormat="1" spans="1:7">
      <c r="A94">
        <v>2022</v>
      </c>
      <c r="B94" t="s">
        <v>20</v>
      </c>
      <c r="C94" t="s">
        <v>13</v>
      </c>
      <c r="D94">
        <v>7355</v>
      </c>
      <c r="E94">
        <v>37.19</v>
      </c>
      <c r="F94">
        <v>408.41</v>
      </c>
      <c r="G94">
        <f t="shared" si="1"/>
        <v>377.4115</v>
      </c>
    </row>
    <row r="95" customFormat="1" spans="1:7">
      <c r="A95">
        <v>2022</v>
      </c>
      <c r="B95" t="s">
        <v>20</v>
      </c>
      <c r="C95" t="s">
        <v>14</v>
      </c>
      <c r="D95">
        <v>7356</v>
      </c>
      <c r="E95">
        <v>39.6</v>
      </c>
      <c r="F95">
        <v>201.79</v>
      </c>
      <c r="G95">
        <f t="shared" si="1"/>
        <v>374.69</v>
      </c>
    </row>
    <row r="96" customFormat="1" spans="1:7">
      <c r="A96">
        <v>2022</v>
      </c>
      <c r="B96" t="s">
        <v>20</v>
      </c>
      <c r="C96" t="s">
        <v>15</v>
      </c>
      <c r="D96">
        <v>7357</v>
      </c>
      <c r="E96">
        <v>19.53</v>
      </c>
      <c r="F96">
        <v>566.35</v>
      </c>
      <c r="G96">
        <f t="shared" si="1"/>
        <v>397.8205</v>
      </c>
    </row>
    <row r="97" customFormat="1" spans="1:7">
      <c r="A97">
        <v>2022</v>
      </c>
      <c r="B97" t="s">
        <v>20</v>
      </c>
      <c r="C97" t="s">
        <v>16</v>
      </c>
      <c r="D97">
        <v>7358</v>
      </c>
      <c r="E97">
        <v>25.11</v>
      </c>
      <c r="F97">
        <v>220.78</v>
      </c>
      <c r="G97">
        <f t="shared" si="1"/>
        <v>391.4535</v>
      </c>
    </row>
    <row r="98" customFormat="1" spans="1:7">
      <c r="A98">
        <v>2022</v>
      </c>
      <c r="B98" t="s">
        <v>20</v>
      </c>
      <c r="C98" t="s">
        <v>17</v>
      </c>
      <c r="D98">
        <v>7359</v>
      </c>
      <c r="E98">
        <v>31.37</v>
      </c>
      <c r="F98">
        <v>501.4</v>
      </c>
      <c r="G98">
        <f t="shared" si="1"/>
        <v>384.3045</v>
      </c>
    </row>
    <row r="99" customFormat="1" spans="1:7">
      <c r="A99">
        <v>2022</v>
      </c>
      <c r="B99" t="s">
        <v>20</v>
      </c>
      <c r="C99" t="s">
        <v>8</v>
      </c>
      <c r="D99">
        <v>7360</v>
      </c>
      <c r="E99">
        <v>29.86</v>
      </c>
      <c r="F99">
        <v>293.41</v>
      </c>
      <c r="G99">
        <f t="shared" si="1"/>
        <v>386.091</v>
      </c>
    </row>
    <row r="100" customFormat="1" spans="1:7">
      <c r="A100">
        <v>2022</v>
      </c>
      <c r="B100" t="s">
        <v>20</v>
      </c>
      <c r="C100" t="s">
        <v>9</v>
      </c>
      <c r="D100">
        <v>7361</v>
      </c>
      <c r="E100">
        <v>25.58</v>
      </c>
      <c r="F100">
        <v>461.19</v>
      </c>
      <c r="G100">
        <f t="shared" si="1"/>
        <v>391.063</v>
      </c>
    </row>
    <row r="101" customFormat="1" spans="1:7">
      <c r="A101">
        <v>2022</v>
      </c>
      <c r="B101" t="s">
        <v>20</v>
      </c>
      <c r="C101" t="s">
        <v>10</v>
      </c>
      <c r="D101">
        <v>7362</v>
      </c>
      <c r="E101">
        <v>21.91</v>
      </c>
      <c r="F101">
        <v>232.12</v>
      </c>
      <c r="G101">
        <f t="shared" si="1"/>
        <v>395.3335</v>
      </c>
    </row>
    <row r="102" customFormat="1" spans="1:7">
      <c r="A102">
        <v>2022</v>
      </c>
      <c r="B102" t="s">
        <v>20</v>
      </c>
      <c r="C102" t="s">
        <v>11</v>
      </c>
      <c r="D102">
        <v>7363</v>
      </c>
      <c r="E102">
        <v>14</v>
      </c>
      <c r="F102">
        <v>122.5</v>
      </c>
      <c r="G102">
        <f t="shared" si="1"/>
        <v>404.48</v>
      </c>
    </row>
    <row r="103" customFormat="1" spans="1:7">
      <c r="A103">
        <v>2022</v>
      </c>
      <c r="B103" t="s">
        <v>20</v>
      </c>
      <c r="C103" t="s">
        <v>12</v>
      </c>
      <c r="D103">
        <v>7364</v>
      </c>
      <c r="E103">
        <v>12.14</v>
      </c>
      <c r="F103">
        <v>469.92</v>
      </c>
      <c r="G103">
        <f t="shared" si="1"/>
        <v>406.669</v>
      </c>
    </row>
    <row r="104" customFormat="1" spans="1:7">
      <c r="A104">
        <v>2022</v>
      </c>
      <c r="B104" t="s">
        <v>20</v>
      </c>
      <c r="C104" t="s">
        <v>13</v>
      </c>
      <c r="D104">
        <v>7365</v>
      </c>
      <c r="E104">
        <v>48.34</v>
      </c>
      <c r="F104">
        <v>71.34</v>
      </c>
      <c r="G104">
        <f t="shared" si="1"/>
        <v>365.089</v>
      </c>
    </row>
    <row r="105" customFormat="1" spans="1:7">
      <c r="A105">
        <v>2022</v>
      </c>
      <c r="B105" t="s">
        <v>20</v>
      </c>
      <c r="C105" t="s">
        <v>14</v>
      </c>
      <c r="D105">
        <v>7366</v>
      </c>
      <c r="E105">
        <v>43.89</v>
      </c>
      <c r="F105">
        <v>410.19</v>
      </c>
      <c r="G105">
        <f t="shared" si="1"/>
        <v>370.2565</v>
      </c>
    </row>
    <row r="106" customFormat="1" spans="1:7">
      <c r="A106">
        <v>2022</v>
      </c>
      <c r="B106" t="s">
        <v>20</v>
      </c>
      <c r="C106" t="s">
        <v>15</v>
      </c>
      <c r="D106">
        <v>7367</v>
      </c>
      <c r="E106">
        <v>24.2</v>
      </c>
      <c r="F106">
        <v>399.13</v>
      </c>
      <c r="G106">
        <f t="shared" si="1"/>
        <v>392.95</v>
      </c>
    </row>
    <row r="107" customFormat="1" spans="1:7">
      <c r="A107">
        <v>2022</v>
      </c>
      <c r="B107" t="s">
        <v>20</v>
      </c>
      <c r="C107" t="s">
        <v>16</v>
      </c>
      <c r="D107">
        <v>7368</v>
      </c>
      <c r="E107">
        <v>48.27</v>
      </c>
      <c r="F107">
        <v>248.96</v>
      </c>
      <c r="G107">
        <f t="shared" si="1"/>
        <v>365.3195</v>
      </c>
    </row>
    <row r="108" customFormat="1" spans="1:7">
      <c r="A108">
        <v>2022</v>
      </c>
      <c r="B108" t="s">
        <v>20</v>
      </c>
      <c r="C108" t="s">
        <v>17</v>
      </c>
      <c r="D108">
        <v>7369</v>
      </c>
      <c r="E108">
        <v>37.07</v>
      </c>
      <c r="F108">
        <v>69.91</v>
      </c>
      <c r="G108">
        <f t="shared" si="1"/>
        <v>378.2495</v>
      </c>
    </row>
    <row r="109" customFormat="1" spans="1:7">
      <c r="A109">
        <v>2022</v>
      </c>
      <c r="B109" t="s">
        <v>20</v>
      </c>
      <c r="C109" t="s">
        <v>8</v>
      </c>
      <c r="D109">
        <v>7370</v>
      </c>
      <c r="E109">
        <v>29.3</v>
      </c>
      <c r="F109">
        <v>309.49</v>
      </c>
      <c r="G109">
        <f t="shared" si="1"/>
        <v>387.235</v>
      </c>
    </row>
    <row r="110" customFormat="1" spans="1:7">
      <c r="A110">
        <v>2022</v>
      </c>
      <c r="B110" t="s">
        <v>20</v>
      </c>
      <c r="C110" t="s">
        <v>9</v>
      </c>
      <c r="D110">
        <v>7371</v>
      </c>
      <c r="E110">
        <v>29.72</v>
      </c>
      <c r="F110">
        <v>389.22</v>
      </c>
      <c r="G110">
        <f t="shared" si="1"/>
        <v>386.802</v>
      </c>
    </row>
    <row r="111" customFormat="1" spans="1:7">
      <c r="A111">
        <v>2022</v>
      </c>
      <c r="B111" t="s">
        <v>20</v>
      </c>
      <c r="C111" t="s">
        <v>10</v>
      </c>
      <c r="D111">
        <v>7372</v>
      </c>
      <c r="E111">
        <v>13.33</v>
      </c>
      <c r="F111">
        <v>457.5</v>
      </c>
      <c r="G111">
        <f t="shared" si="1"/>
        <v>405.7005</v>
      </c>
    </row>
    <row r="112" customFormat="1" spans="1:7">
      <c r="A112">
        <v>2022</v>
      </c>
      <c r="B112" t="s">
        <v>20</v>
      </c>
      <c r="C112" t="s">
        <v>11</v>
      </c>
      <c r="D112">
        <v>7373</v>
      </c>
      <c r="E112">
        <v>13.67</v>
      </c>
      <c r="F112">
        <v>425.44</v>
      </c>
      <c r="G112">
        <f t="shared" si="1"/>
        <v>405.3595</v>
      </c>
    </row>
    <row r="113" customFormat="1" spans="1:7">
      <c r="A113">
        <v>2022</v>
      </c>
      <c r="B113" t="s">
        <v>20</v>
      </c>
      <c r="C113" t="s">
        <v>12</v>
      </c>
      <c r="D113">
        <v>7374</v>
      </c>
      <c r="E113">
        <v>34.1</v>
      </c>
      <c r="F113">
        <v>141.66</v>
      </c>
      <c r="G113">
        <f t="shared" si="1"/>
        <v>381.915</v>
      </c>
    </row>
    <row r="114" customFormat="1" spans="1:7">
      <c r="A114">
        <v>2022</v>
      </c>
      <c r="B114" t="s">
        <v>20</v>
      </c>
      <c r="C114" t="s">
        <v>13</v>
      </c>
      <c r="D114">
        <v>7375</v>
      </c>
      <c r="E114">
        <v>32.15</v>
      </c>
      <c r="F114">
        <v>446.54</v>
      </c>
      <c r="G114">
        <f t="shared" si="1"/>
        <v>384.2075</v>
      </c>
    </row>
    <row r="115" customFormat="1" spans="1:7">
      <c r="A115">
        <v>2022</v>
      </c>
      <c r="B115" t="s">
        <v>20</v>
      </c>
      <c r="C115" t="s">
        <v>14</v>
      </c>
      <c r="D115">
        <v>7376</v>
      </c>
      <c r="E115">
        <v>18.51</v>
      </c>
      <c r="F115">
        <v>96.24</v>
      </c>
      <c r="G115">
        <f t="shared" si="1"/>
        <v>399.9435</v>
      </c>
    </row>
    <row r="116" customFormat="1" spans="1:7">
      <c r="A116">
        <v>2022</v>
      </c>
      <c r="B116" t="s">
        <v>20</v>
      </c>
      <c r="C116" t="s">
        <v>15</v>
      </c>
      <c r="D116">
        <v>7377</v>
      </c>
      <c r="E116">
        <v>47.85</v>
      </c>
      <c r="F116">
        <v>160.1</v>
      </c>
      <c r="G116">
        <f t="shared" si="1"/>
        <v>366.2525</v>
      </c>
    </row>
    <row r="117" customFormat="1" spans="1:7">
      <c r="A117">
        <v>2022</v>
      </c>
      <c r="B117" t="s">
        <v>20</v>
      </c>
      <c r="C117" t="s">
        <v>16</v>
      </c>
      <c r="D117">
        <v>7378</v>
      </c>
      <c r="E117">
        <v>41.25</v>
      </c>
      <c r="F117">
        <v>431.65</v>
      </c>
      <c r="G117">
        <f t="shared" si="1"/>
        <v>373.8925</v>
      </c>
    </row>
    <row r="118" customFormat="1" spans="1:7">
      <c r="A118">
        <v>2022</v>
      </c>
      <c r="B118" t="s">
        <v>20</v>
      </c>
      <c r="C118" t="s">
        <v>17</v>
      </c>
      <c r="D118">
        <v>7379</v>
      </c>
      <c r="E118">
        <v>14.54</v>
      </c>
      <c r="F118">
        <v>493.13</v>
      </c>
      <c r="G118">
        <f t="shared" si="1"/>
        <v>404.659</v>
      </c>
    </row>
    <row r="119" customFormat="1" spans="1:7">
      <c r="A119">
        <v>2022</v>
      </c>
      <c r="B119" t="s">
        <v>21</v>
      </c>
      <c r="C119" t="s">
        <v>8</v>
      </c>
      <c r="D119">
        <v>7380</v>
      </c>
      <c r="E119">
        <v>47.24</v>
      </c>
      <c r="F119">
        <v>327.06</v>
      </c>
      <c r="G119">
        <f t="shared" si="1"/>
        <v>367.104</v>
      </c>
    </row>
    <row r="120" customFormat="1" spans="1:7">
      <c r="A120">
        <v>2022</v>
      </c>
      <c r="B120" t="s">
        <v>21</v>
      </c>
      <c r="C120" t="s">
        <v>9</v>
      </c>
      <c r="D120">
        <v>7381</v>
      </c>
      <c r="E120">
        <v>48.97</v>
      </c>
      <c r="F120">
        <v>328.38</v>
      </c>
      <c r="G120">
        <f t="shared" si="1"/>
        <v>365.1645</v>
      </c>
    </row>
    <row r="121" customFormat="1" spans="1:7">
      <c r="A121">
        <v>2022</v>
      </c>
      <c r="B121" t="s">
        <v>21</v>
      </c>
      <c r="C121" t="s">
        <v>10</v>
      </c>
      <c r="D121">
        <v>7382</v>
      </c>
      <c r="E121">
        <v>49.84</v>
      </c>
      <c r="F121">
        <v>140.37</v>
      </c>
      <c r="G121">
        <f t="shared" si="1"/>
        <v>364.214</v>
      </c>
    </row>
    <row r="122" customFormat="1" spans="1:7">
      <c r="A122">
        <v>2022</v>
      </c>
      <c r="B122" t="s">
        <v>21</v>
      </c>
      <c r="C122" t="s">
        <v>11</v>
      </c>
      <c r="D122">
        <v>7383</v>
      </c>
      <c r="E122">
        <v>12.23</v>
      </c>
      <c r="F122">
        <v>451.41</v>
      </c>
      <c r="G122">
        <f t="shared" si="1"/>
        <v>407.5155</v>
      </c>
    </row>
    <row r="123" customFormat="1" spans="1:7">
      <c r="A123">
        <v>2022</v>
      </c>
      <c r="B123" t="s">
        <v>21</v>
      </c>
      <c r="C123" t="s">
        <v>12</v>
      </c>
      <c r="D123">
        <v>7384</v>
      </c>
      <c r="E123">
        <v>39.48</v>
      </c>
      <c r="F123">
        <v>353.02</v>
      </c>
      <c r="G123">
        <f t="shared" si="1"/>
        <v>376.228</v>
      </c>
    </row>
    <row r="124" customFormat="1" spans="1:7">
      <c r="A124">
        <v>2022</v>
      </c>
      <c r="B124" t="s">
        <v>21</v>
      </c>
      <c r="C124" t="s">
        <v>13</v>
      </c>
      <c r="D124">
        <v>7385</v>
      </c>
      <c r="E124">
        <v>31.84</v>
      </c>
      <c r="F124">
        <v>411.32</v>
      </c>
      <c r="G124">
        <f t="shared" si="1"/>
        <v>385.064</v>
      </c>
    </row>
    <row r="125" customFormat="1" spans="1:7">
      <c r="A125">
        <v>2022</v>
      </c>
      <c r="B125" t="s">
        <v>21</v>
      </c>
      <c r="C125" t="s">
        <v>14</v>
      </c>
      <c r="D125">
        <v>7386</v>
      </c>
      <c r="E125">
        <v>38.23</v>
      </c>
      <c r="F125">
        <v>159.06</v>
      </c>
      <c r="G125">
        <f t="shared" si="1"/>
        <v>377.7655</v>
      </c>
    </row>
    <row r="126" customFormat="1" spans="1:7">
      <c r="A126">
        <v>2022</v>
      </c>
      <c r="B126" t="s">
        <v>21</v>
      </c>
      <c r="C126" t="s">
        <v>15</v>
      </c>
      <c r="D126">
        <v>7387</v>
      </c>
      <c r="E126">
        <v>48.75</v>
      </c>
      <c r="F126">
        <v>198.66</v>
      </c>
      <c r="G126">
        <f t="shared" si="1"/>
        <v>365.7175</v>
      </c>
    </row>
    <row r="127" customFormat="1" spans="1:7">
      <c r="A127">
        <v>2022</v>
      </c>
      <c r="B127" t="s">
        <v>21</v>
      </c>
      <c r="C127" t="s">
        <v>16</v>
      </c>
      <c r="D127">
        <v>7388</v>
      </c>
      <c r="E127">
        <v>37.52</v>
      </c>
      <c r="F127">
        <v>285.47</v>
      </c>
      <c r="G127">
        <f t="shared" si="1"/>
        <v>378.682</v>
      </c>
    </row>
    <row r="128" customFormat="1" spans="1:7">
      <c r="A128">
        <v>2022</v>
      </c>
      <c r="B128" t="s">
        <v>21</v>
      </c>
      <c r="C128" t="s">
        <v>17</v>
      </c>
      <c r="D128">
        <v>7389</v>
      </c>
      <c r="E128">
        <v>43.48</v>
      </c>
      <c r="F128">
        <v>116.92</v>
      </c>
      <c r="G128">
        <f t="shared" si="1"/>
        <v>371.878</v>
      </c>
    </row>
    <row r="129" customFormat="1" spans="1:7">
      <c r="A129">
        <v>2022</v>
      </c>
      <c r="B129" t="s">
        <v>21</v>
      </c>
      <c r="C129" t="s">
        <v>8</v>
      </c>
      <c r="D129">
        <v>7390</v>
      </c>
      <c r="E129">
        <v>44.67</v>
      </c>
      <c r="F129">
        <v>396.6</v>
      </c>
      <c r="G129">
        <f t="shared" si="1"/>
        <v>370.5595</v>
      </c>
    </row>
    <row r="130" customFormat="1" spans="1:7">
      <c r="A130">
        <v>2022</v>
      </c>
      <c r="B130" t="s">
        <v>21</v>
      </c>
      <c r="C130" t="s">
        <v>9</v>
      </c>
      <c r="D130">
        <v>7391</v>
      </c>
      <c r="E130">
        <v>43.54</v>
      </c>
      <c r="F130">
        <v>204.83</v>
      </c>
      <c r="G130">
        <f t="shared" si="1"/>
        <v>371.909</v>
      </c>
    </row>
    <row r="131" customFormat="1" spans="1:7">
      <c r="A131">
        <v>2022</v>
      </c>
      <c r="B131" t="s">
        <v>21</v>
      </c>
      <c r="C131" t="s">
        <v>10</v>
      </c>
      <c r="D131">
        <v>7392</v>
      </c>
      <c r="E131">
        <v>27.04</v>
      </c>
      <c r="F131">
        <v>354.43</v>
      </c>
      <c r="G131">
        <f t="shared" si="1"/>
        <v>390.934</v>
      </c>
    </row>
    <row r="132" customFormat="1" spans="1:7">
      <c r="A132">
        <v>2022</v>
      </c>
      <c r="B132" t="s">
        <v>21</v>
      </c>
      <c r="C132" t="s">
        <v>11</v>
      </c>
      <c r="D132">
        <v>7393</v>
      </c>
      <c r="E132">
        <v>18.9</v>
      </c>
      <c r="F132">
        <v>213.62</v>
      </c>
      <c r="G132">
        <f t="shared" ref="G132:G195" si="2">52.43+(0.05*D132)-(1.15*E132)</f>
        <v>400.345</v>
      </c>
    </row>
    <row r="133" customFormat="1" spans="1:7">
      <c r="A133">
        <v>2022</v>
      </c>
      <c r="B133" t="s">
        <v>21</v>
      </c>
      <c r="C133" t="s">
        <v>12</v>
      </c>
      <c r="D133">
        <v>7394</v>
      </c>
      <c r="E133">
        <v>25.87</v>
      </c>
      <c r="F133">
        <v>246.49</v>
      </c>
      <c r="G133">
        <f t="shared" si="2"/>
        <v>392.3795</v>
      </c>
    </row>
    <row r="134" customFormat="1" spans="1:7">
      <c r="A134">
        <v>2022</v>
      </c>
      <c r="B134" t="s">
        <v>21</v>
      </c>
      <c r="C134" t="s">
        <v>13</v>
      </c>
      <c r="D134">
        <v>7395</v>
      </c>
      <c r="E134">
        <v>45.68</v>
      </c>
      <c r="F134">
        <v>323.95</v>
      </c>
      <c r="G134">
        <f t="shared" si="2"/>
        <v>369.648</v>
      </c>
    </row>
    <row r="135" customFormat="1" spans="1:7">
      <c r="A135">
        <v>2022</v>
      </c>
      <c r="B135" t="s">
        <v>21</v>
      </c>
      <c r="C135" t="s">
        <v>14</v>
      </c>
      <c r="D135">
        <v>7396</v>
      </c>
      <c r="E135">
        <v>15.86</v>
      </c>
      <c r="F135">
        <v>140.23</v>
      </c>
      <c r="G135">
        <f t="shared" si="2"/>
        <v>403.991</v>
      </c>
    </row>
    <row r="136" customFormat="1" spans="1:7">
      <c r="A136">
        <v>2022</v>
      </c>
      <c r="B136" t="s">
        <v>21</v>
      </c>
      <c r="C136" t="s">
        <v>15</v>
      </c>
      <c r="D136">
        <v>7397</v>
      </c>
      <c r="E136">
        <v>30.53</v>
      </c>
      <c r="F136">
        <v>348.5</v>
      </c>
      <c r="G136">
        <f t="shared" si="2"/>
        <v>387.1705</v>
      </c>
    </row>
    <row r="137" customFormat="1" spans="1:7">
      <c r="A137">
        <v>2022</v>
      </c>
      <c r="B137" t="s">
        <v>21</v>
      </c>
      <c r="C137" t="s">
        <v>16</v>
      </c>
      <c r="D137">
        <v>7398</v>
      </c>
      <c r="E137">
        <v>19.33</v>
      </c>
      <c r="F137">
        <v>432.04</v>
      </c>
      <c r="G137">
        <f t="shared" si="2"/>
        <v>400.1005</v>
      </c>
    </row>
    <row r="138" customFormat="1" spans="1:7">
      <c r="A138">
        <v>2022</v>
      </c>
      <c r="B138" t="s">
        <v>21</v>
      </c>
      <c r="C138" t="s">
        <v>17</v>
      </c>
      <c r="D138">
        <v>7399</v>
      </c>
      <c r="E138">
        <v>33.25</v>
      </c>
      <c r="F138">
        <v>143.52</v>
      </c>
      <c r="G138">
        <f t="shared" si="2"/>
        <v>384.1425</v>
      </c>
    </row>
    <row r="139" customFormat="1" spans="1:7">
      <c r="A139">
        <v>2022</v>
      </c>
      <c r="B139" t="s">
        <v>21</v>
      </c>
      <c r="C139" t="s">
        <v>8</v>
      </c>
      <c r="D139">
        <v>7400</v>
      </c>
      <c r="E139">
        <v>44.53</v>
      </c>
      <c r="F139">
        <v>371.92</v>
      </c>
      <c r="G139">
        <f t="shared" si="2"/>
        <v>371.2205</v>
      </c>
    </row>
    <row r="140" customFormat="1" spans="1:7">
      <c r="A140">
        <v>2022</v>
      </c>
      <c r="B140" t="s">
        <v>21</v>
      </c>
      <c r="C140" t="s">
        <v>9</v>
      </c>
      <c r="D140">
        <v>7401</v>
      </c>
      <c r="E140">
        <v>45.21</v>
      </c>
      <c r="F140">
        <v>325.84</v>
      </c>
      <c r="G140">
        <f t="shared" si="2"/>
        <v>370.4885</v>
      </c>
    </row>
    <row r="141" customFormat="1" spans="1:7">
      <c r="A141">
        <v>2022</v>
      </c>
      <c r="B141" t="s">
        <v>21</v>
      </c>
      <c r="C141" t="s">
        <v>10</v>
      </c>
      <c r="D141">
        <v>7402</v>
      </c>
      <c r="E141">
        <v>19.47</v>
      </c>
      <c r="F141">
        <v>461.85</v>
      </c>
      <c r="G141">
        <f t="shared" si="2"/>
        <v>400.1395</v>
      </c>
    </row>
    <row r="142" customFormat="1" spans="1:7">
      <c r="A142">
        <v>2022</v>
      </c>
      <c r="B142" t="s">
        <v>21</v>
      </c>
      <c r="C142" t="s">
        <v>11</v>
      </c>
      <c r="D142">
        <v>7403</v>
      </c>
      <c r="E142">
        <v>46.31</v>
      </c>
      <c r="F142">
        <v>489.76</v>
      </c>
      <c r="G142">
        <f t="shared" si="2"/>
        <v>369.3235</v>
      </c>
    </row>
    <row r="143" customFormat="1" spans="1:7">
      <c r="A143">
        <v>2022</v>
      </c>
      <c r="B143" t="s">
        <v>21</v>
      </c>
      <c r="C143" t="s">
        <v>12</v>
      </c>
      <c r="D143">
        <v>7404</v>
      </c>
      <c r="E143">
        <v>33.68</v>
      </c>
      <c r="F143">
        <v>383.87</v>
      </c>
      <c r="G143">
        <f t="shared" si="2"/>
        <v>383.898</v>
      </c>
    </row>
    <row r="144" customFormat="1" spans="1:7">
      <c r="A144">
        <v>2022</v>
      </c>
      <c r="B144" t="s">
        <v>21</v>
      </c>
      <c r="C144" t="s">
        <v>13</v>
      </c>
      <c r="D144">
        <v>7405</v>
      </c>
      <c r="E144">
        <v>24.01</v>
      </c>
      <c r="F144">
        <v>315.1</v>
      </c>
      <c r="G144">
        <f t="shared" si="2"/>
        <v>395.0685</v>
      </c>
    </row>
    <row r="145" customFormat="1" spans="1:7">
      <c r="A145">
        <v>2022</v>
      </c>
      <c r="B145" t="s">
        <v>21</v>
      </c>
      <c r="C145" t="s">
        <v>14</v>
      </c>
      <c r="D145">
        <v>7406</v>
      </c>
      <c r="E145">
        <v>38.33</v>
      </c>
      <c r="F145">
        <v>276.85</v>
      </c>
      <c r="G145">
        <f t="shared" si="2"/>
        <v>378.6505</v>
      </c>
    </row>
    <row r="146" customFormat="1" spans="1:7">
      <c r="A146">
        <v>2022</v>
      </c>
      <c r="B146" t="s">
        <v>21</v>
      </c>
      <c r="C146" t="s">
        <v>15</v>
      </c>
      <c r="D146">
        <v>7407</v>
      </c>
      <c r="E146">
        <v>29.27</v>
      </c>
      <c r="F146">
        <v>274.87</v>
      </c>
      <c r="G146">
        <f t="shared" si="2"/>
        <v>389.1195</v>
      </c>
    </row>
    <row r="147" customFormat="1" spans="1:7">
      <c r="A147">
        <v>2022</v>
      </c>
      <c r="B147" t="s">
        <v>21</v>
      </c>
      <c r="C147" t="s">
        <v>16</v>
      </c>
      <c r="D147">
        <v>7408</v>
      </c>
      <c r="E147">
        <v>25.12</v>
      </c>
      <c r="F147">
        <v>91.44</v>
      </c>
      <c r="G147">
        <f t="shared" si="2"/>
        <v>393.942</v>
      </c>
    </row>
    <row r="148" customFormat="1" spans="1:7">
      <c r="A148">
        <v>2022</v>
      </c>
      <c r="B148" t="s">
        <v>21</v>
      </c>
      <c r="C148" t="s">
        <v>17</v>
      </c>
      <c r="D148">
        <v>7409</v>
      </c>
      <c r="E148">
        <v>38.2</v>
      </c>
      <c r="F148">
        <v>135.84</v>
      </c>
      <c r="G148">
        <f t="shared" si="2"/>
        <v>378.95</v>
      </c>
    </row>
    <row r="149" customFormat="1" spans="1:7">
      <c r="A149">
        <v>2022</v>
      </c>
      <c r="B149" t="s">
        <v>21</v>
      </c>
      <c r="C149" t="s">
        <v>8</v>
      </c>
      <c r="D149">
        <v>7410</v>
      </c>
      <c r="E149">
        <v>19.95</v>
      </c>
      <c r="F149">
        <v>458.34</v>
      </c>
      <c r="G149">
        <f t="shared" si="2"/>
        <v>399.9875</v>
      </c>
    </row>
    <row r="150" customFormat="1" spans="1:7">
      <c r="A150">
        <v>2022</v>
      </c>
      <c r="B150" t="s">
        <v>22</v>
      </c>
      <c r="C150" t="s">
        <v>9</v>
      </c>
      <c r="D150">
        <v>7411</v>
      </c>
      <c r="E150">
        <v>23.21</v>
      </c>
      <c r="F150">
        <v>114.66</v>
      </c>
      <c r="G150">
        <f t="shared" si="2"/>
        <v>396.2885</v>
      </c>
    </row>
    <row r="151" customFormat="1" spans="1:7">
      <c r="A151">
        <v>2022</v>
      </c>
      <c r="B151" t="s">
        <v>22</v>
      </c>
      <c r="C151" t="s">
        <v>10</v>
      </c>
      <c r="D151">
        <v>7412</v>
      </c>
      <c r="E151">
        <v>27.38</v>
      </c>
      <c r="F151">
        <v>259.34</v>
      </c>
      <c r="G151">
        <f t="shared" si="2"/>
        <v>391.543</v>
      </c>
    </row>
    <row r="152" customFormat="1" spans="1:7">
      <c r="A152">
        <v>2022</v>
      </c>
      <c r="B152" t="s">
        <v>22</v>
      </c>
      <c r="C152" t="s">
        <v>11</v>
      </c>
      <c r="D152">
        <v>7413</v>
      </c>
      <c r="E152">
        <v>20.15</v>
      </c>
      <c r="F152">
        <v>257.38</v>
      </c>
      <c r="G152">
        <f t="shared" si="2"/>
        <v>399.9075</v>
      </c>
    </row>
    <row r="153" customFormat="1" spans="1:7">
      <c r="A153">
        <v>2022</v>
      </c>
      <c r="B153" t="s">
        <v>22</v>
      </c>
      <c r="C153" t="s">
        <v>12</v>
      </c>
      <c r="D153">
        <v>7414</v>
      </c>
      <c r="E153">
        <v>26.21</v>
      </c>
      <c r="F153">
        <v>321.19</v>
      </c>
      <c r="G153">
        <f t="shared" si="2"/>
        <v>392.9885</v>
      </c>
    </row>
    <row r="154" customFormat="1" spans="1:7">
      <c r="A154">
        <v>2022</v>
      </c>
      <c r="B154" t="s">
        <v>22</v>
      </c>
      <c r="C154" t="s">
        <v>13</v>
      </c>
      <c r="D154">
        <v>7415</v>
      </c>
      <c r="E154">
        <v>32.86</v>
      </c>
      <c r="F154">
        <v>110.74</v>
      </c>
      <c r="G154">
        <f t="shared" si="2"/>
        <v>385.391</v>
      </c>
    </row>
    <row r="155" customFormat="1" spans="1:7">
      <c r="A155">
        <v>2022</v>
      </c>
      <c r="B155" t="s">
        <v>22</v>
      </c>
      <c r="C155" t="s">
        <v>14</v>
      </c>
      <c r="D155">
        <v>7416</v>
      </c>
      <c r="E155">
        <v>39.64</v>
      </c>
      <c r="F155">
        <v>353.01</v>
      </c>
      <c r="G155">
        <f t="shared" si="2"/>
        <v>377.644</v>
      </c>
    </row>
    <row r="156" customFormat="1" spans="1:7">
      <c r="A156">
        <v>2022</v>
      </c>
      <c r="B156" t="s">
        <v>22</v>
      </c>
      <c r="C156" t="s">
        <v>15</v>
      </c>
      <c r="D156">
        <v>7417</v>
      </c>
      <c r="E156">
        <v>40.69</v>
      </c>
      <c r="F156">
        <v>145.03</v>
      </c>
      <c r="G156">
        <f t="shared" si="2"/>
        <v>376.4865</v>
      </c>
    </row>
    <row r="157" customFormat="1" spans="1:7">
      <c r="A157">
        <v>2022</v>
      </c>
      <c r="B157" t="s">
        <v>22</v>
      </c>
      <c r="C157" t="s">
        <v>16</v>
      </c>
      <c r="D157">
        <v>7418</v>
      </c>
      <c r="E157">
        <v>42.91</v>
      </c>
      <c r="F157">
        <v>233.62</v>
      </c>
      <c r="G157">
        <f t="shared" si="2"/>
        <v>373.9835</v>
      </c>
    </row>
    <row r="158" customFormat="1" spans="1:7">
      <c r="A158">
        <v>2022</v>
      </c>
      <c r="B158" t="s">
        <v>22</v>
      </c>
      <c r="C158" t="s">
        <v>17</v>
      </c>
      <c r="D158">
        <v>7419</v>
      </c>
      <c r="E158">
        <v>39.77</v>
      </c>
      <c r="F158">
        <v>453.31</v>
      </c>
      <c r="G158">
        <f t="shared" si="2"/>
        <v>377.6445</v>
      </c>
    </row>
    <row r="159" customFormat="1" spans="1:7">
      <c r="A159">
        <v>2022</v>
      </c>
      <c r="B159" t="s">
        <v>22</v>
      </c>
      <c r="C159" t="s">
        <v>8</v>
      </c>
      <c r="D159">
        <v>7420</v>
      </c>
      <c r="E159">
        <v>37.24</v>
      </c>
      <c r="F159">
        <v>440.11</v>
      </c>
      <c r="G159">
        <f t="shared" si="2"/>
        <v>380.604</v>
      </c>
    </row>
    <row r="160" customFormat="1" spans="1:7">
      <c r="A160">
        <v>2022</v>
      </c>
      <c r="B160" t="s">
        <v>22</v>
      </c>
      <c r="C160" t="s">
        <v>9</v>
      </c>
      <c r="D160">
        <v>7421</v>
      </c>
      <c r="E160">
        <v>19.5</v>
      </c>
      <c r="F160">
        <v>138.39</v>
      </c>
      <c r="G160">
        <f t="shared" si="2"/>
        <v>401.055</v>
      </c>
    </row>
    <row r="161" customFormat="1" spans="1:7">
      <c r="A161">
        <v>2022</v>
      </c>
      <c r="B161" t="s">
        <v>22</v>
      </c>
      <c r="C161" t="s">
        <v>10</v>
      </c>
      <c r="D161">
        <v>7422</v>
      </c>
      <c r="E161">
        <v>26.01</v>
      </c>
      <c r="F161">
        <v>302.19</v>
      </c>
      <c r="G161">
        <f t="shared" si="2"/>
        <v>393.6185</v>
      </c>
    </row>
    <row r="162" customFormat="1" spans="1:7">
      <c r="A162">
        <v>2022</v>
      </c>
      <c r="B162" t="s">
        <v>22</v>
      </c>
      <c r="C162" t="s">
        <v>11</v>
      </c>
      <c r="D162">
        <v>7423</v>
      </c>
      <c r="E162">
        <v>29.11</v>
      </c>
      <c r="F162">
        <v>138.96</v>
      </c>
      <c r="G162">
        <f t="shared" si="2"/>
        <v>390.1035</v>
      </c>
    </row>
    <row r="163" customFormat="1" spans="1:7">
      <c r="A163">
        <v>2022</v>
      </c>
      <c r="B163" t="s">
        <v>22</v>
      </c>
      <c r="C163" t="s">
        <v>12</v>
      </c>
      <c r="D163">
        <v>7424</v>
      </c>
      <c r="E163">
        <v>13.32</v>
      </c>
      <c r="F163">
        <v>309.6</v>
      </c>
      <c r="G163">
        <f t="shared" si="2"/>
        <v>408.312</v>
      </c>
    </row>
    <row r="164" customFormat="1" spans="1:7">
      <c r="A164">
        <v>2022</v>
      </c>
      <c r="B164" t="s">
        <v>22</v>
      </c>
      <c r="C164" t="s">
        <v>13</v>
      </c>
      <c r="D164">
        <v>7425</v>
      </c>
      <c r="E164">
        <v>31.13</v>
      </c>
      <c r="F164">
        <v>33.97</v>
      </c>
      <c r="G164">
        <f t="shared" si="2"/>
        <v>387.8805</v>
      </c>
    </row>
    <row r="165" customFormat="1" spans="1:7">
      <c r="A165">
        <v>2022</v>
      </c>
      <c r="B165" t="s">
        <v>22</v>
      </c>
      <c r="C165" t="s">
        <v>14</v>
      </c>
      <c r="D165">
        <v>7426</v>
      </c>
      <c r="E165">
        <v>27.45</v>
      </c>
      <c r="F165">
        <v>468.13</v>
      </c>
      <c r="G165">
        <f t="shared" si="2"/>
        <v>392.1625</v>
      </c>
    </row>
    <row r="166" customFormat="1" spans="1:7">
      <c r="A166">
        <v>2022</v>
      </c>
      <c r="B166" t="s">
        <v>22</v>
      </c>
      <c r="C166" t="s">
        <v>15</v>
      </c>
      <c r="D166">
        <v>7427</v>
      </c>
      <c r="E166">
        <v>42.08</v>
      </c>
      <c r="F166">
        <v>347.01</v>
      </c>
      <c r="G166">
        <f t="shared" si="2"/>
        <v>375.388</v>
      </c>
    </row>
    <row r="167" customFormat="1" spans="1:7">
      <c r="A167">
        <v>2022</v>
      </c>
      <c r="B167" t="s">
        <v>22</v>
      </c>
      <c r="C167" t="s">
        <v>16</v>
      </c>
      <c r="D167">
        <v>7428</v>
      </c>
      <c r="E167">
        <v>49.12</v>
      </c>
      <c r="F167">
        <v>399.31</v>
      </c>
      <c r="G167">
        <f t="shared" si="2"/>
        <v>367.342</v>
      </c>
    </row>
    <row r="168" customFormat="1" spans="1:7">
      <c r="A168">
        <v>2022</v>
      </c>
      <c r="B168" t="s">
        <v>22</v>
      </c>
      <c r="C168" t="s">
        <v>17</v>
      </c>
      <c r="D168">
        <v>7429</v>
      </c>
      <c r="E168">
        <v>32.24</v>
      </c>
      <c r="F168">
        <v>383.28</v>
      </c>
      <c r="G168">
        <f t="shared" si="2"/>
        <v>386.804</v>
      </c>
    </row>
    <row r="169" customFormat="1" spans="1:7">
      <c r="A169">
        <v>2022</v>
      </c>
      <c r="B169" t="s">
        <v>22</v>
      </c>
      <c r="C169" t="s">
        <v>8</v>
      </c>
      <c r="D169">
        <v>7430</v>
      </c>
      <c r="E169">
        <v>22.91</v>
      </c>
      <c r="F169">
        <v>318.39</v>
      </c>
      <c r="G169">
        <f t="shared" si="2"/>
        <v>397.5835</v>
      </c>
    </row>
    <row r="170" customFormat="1" spans="1:7">
      <c r="A170">
        <v>2022</v>
      </c>
      <c r="B170" t="s">
        <v>22</v>
      </c>
      <c r="C170" t="s">
        <v>9</v>
      </c>
      <c r="D170">
        <v>7431</v>
      </c>
      <c r="E170">
        <v>11.74</v>
      </c>
      <c r="F170">
        <v>362.95</v>
      </c>
      <c r="G170">
        <f t="shared" si="2"/>
        <v>410.479</v>
      </c>
    </row>
    <row r="171" customFormat="1" spans="1:7">
      <c r="A171">
        <v>2022</v>
      </c>
      <c r="B171" t="s">
        <v>22</v>
      </c>
      <c r="C171" t="s">
        <v>10</v>
      </c>
      <c r="D171">
        <v>7432</v>
      </c>
      <c r="E171">
        <v>46.99</v>
      </c>
      <c r="F171">
        <v>130.24</v>
      </c>
      <c r="G171">
        <f t="shared" si="2"/>
        <v>369.9915</v>
      </c>
    </row>
    <row r="172" customFormat="1" spans="1:7">
      <c r="A172">
        <v>2022</v>
      </c>
      <c r="B172" t="s">
        <v>22</v>
      </c>
      <c r="C172" t="s">
        <v>11</v>
      </c>
      <c r="D172">
        <v>7433</v>
      </c>
      <c r="E172">
        <v>46.76</v>
      </c>
      <c r="F172">
        <v>352.46</v>
      </c>
      <c r="G172">
        <f t="shared" si="2"/>
        <v>370.306</v>
      </c>
    </row>
    <row r="173" customFormat="1" spans="1:7">
      <c r="A173">
        <v>2022</v>
      </c>
      <c r="B173" t="s">
        <v>22</v>
      </c>
      <c r="C173" t="s">
        <v>12</v>
      </c>
      <c r="D173">
        <v>7434</v>
      </c>
      <c r="E173">
        <v>20.12</v>
      </c>
      <c r="F173">
        <v>377.05</v>
      </c>
      <c r="G173">
        <f t="shared" si="2"/>
        <v>400.992</v>
      </c>
    </row>
    <row r="174" customFormat="1" spans="1:7">
      <c r="A174">
        <v>2022</v>
      </c>
      <c r="B174" t="s">
        <v>22</v>
      </c>
      <c r="C174" t="s">
        <v>13</v>
      </c>
      <c r="D174">
        <v>7435</v>
      </c>
      <c r="E174">
        <v>37.82</v>
      </c>
      <c r="F174">
        <v>257.68</v>
      </c>
      <c r="G174">
        <f t="shared" si="2"/>
        <v>380.687</v>
      </c>
    </row>
    <row r="175" customFormat="1" spans="1:7">
      <c r="A175">
        <v>2022</v>
      </c>
      <c r="B175" t="s">
        <v>22</v>
      </c>
      <c r="C175" t="s">
        <v>14</v>
      </c>
      <c r="D175">
        <v>7436</v>
      </c>
      <c r="E175">
        <v>13.02</v>
      </c>
      <c r="F175">
        <v>244.47</v>
      </c>
      <c r="G175">
        <f t="shared" si="2"/>
        <v>409.257</v>
      </c>
    </row>
    <row r="176" customFormat="1" spans="1:7">
      <c r="A176">
        <v>2022</v>
      </c>
      <c r="B176" t="s">
        <v>22</v>
      </c>
      <c r="C176" t="s">
        <v>15</v>
      </c>
      <c r="D176">
        <v>7437</v>
      </c>
      <c r="E176">
        <v>16.65</v>
      </c>
      <c r="F176">
        <v>77.64</v>
      </c>
      <c r="G176">
        <f t="shared" si="2"/>
        <v>405.1325</v>
      </c>
    </row>
    <row r="177" customFormat="1" spans="1:7">
      <c r="A177">
        <v>2022</v>
      </c>
      <c r="B177" t="s">
        <v>22</v>
      </c>
      <c r="C177" t="s">
        <v>16</v>
      </c>
      <c r="D177">
        <v>7438</v>
      </c>
      <c r="E177">
        <v>18.67</v>
      </c>
      <c r="F177">
        <v>339.92</v>
      </c>
      <c r="G177">
        <f t="shared" si="2"/>
        <v>402.8595</v>
      </c>
    </row>
    <row r="178" customFormat="1" spans="1:7">
      <c r="A178">
        <v>2022</v>
      </c>
      <c r="B178" t="s">
        <v>22</v>
      </c>
      <c r="C178" t="s">
        <v>17</v>
      </c>
      <c r="D178">
        <v>7439</v>
      </c>
      <c r="E178">
        <v>21.78</v>
      </c>
      <c r="F178">
        <v>524.74</v>
      </c>
      <c r="G178">
        <f t="shared" si="2"/>
        <v>399.333</v>
      </c>
    </row>
    <row r="179" customFormat="1" spans="1:7">
      <c r="A179">
        <v>2022</v>
      </c>
      <c r="B179" t="s">
        <v>22</v>
      </c>
      <c r="C179" t="s">
        <v>8</v>
      </c>
      <c r="D179">
        <v>7440</v>
      </c>
      <c r="E179">
        <v>49.83</v>
      </c>
      <c r="F179">
        <v>275.9</v>
      </c>
      <c r="G179">
        <f t="shared" si="2"/>
        <v>367.1255</v>
      </c>
    </row>
    <row r="180" customFormat="1" spans="1:7">
      <c r="A180">
        <v>2022</v>
      </c>
      <c r="B180" t="s">
        <v>23</v>
      </c>
      <c r="C180" t="s">
        <v>9</v>
      </c>
      <c r="D180">
        <v>7441</v>
      </c>
      <c r="E180">
        <v>37.88</v>
      </c>
      <c r="F180">
        <v>133.28</v>
      </c>
      <c r="G180">
        <f t="shared" si="2"/>
        <v>380.918</v>
      </c>
    </row>
    <row r="181" customFormat="1" spans="1:7">
      <c r="A181">
        <v>2022</v>
      </c>
      <c r="B181" t="s">
        <v>23</v>
      </c>
      <c r="C181" t="s">
        <v>10</v>
      </c>
      <c r="D181">
        <v>7442</v>
      </c>
      <c r="E181">
        <v>25.37</v>
      </c>
      <c r="F181">
        <v>472.62</v>
      </c>
      <c r="G181">
        <f t="shared" si="2"/>
        <v>395.3545</v>
      </c>
    </row>
    <row r="182" customFormat="1" spans="1:7">
      <c r="A182">
        <v>2022</v>
      </c>
      <c r="B182" t="s">
        <v>23</v>
      </c>
      <c r="C182" t="s">
        <v>11</v>
      </c>
      <c r="D182">
        <v>7443</v>
      </c>
      <c r="E182">
        <v>39.48</v>
      </c>
      <c r="F182">
        <v>218.74</v>
      </c>
      <c r="G182">
        <f t="shared" si="2"/>
        <v>379.178</v>
      </c>
    </row>
    <row r="183" customFormat="1" spans="1:7">
      <c r="A183">
        <v>2022</v>
      </c>
      <c r="B183" t="s">
        <v>23</v>
      </c>
      <c r="C183" t="s">
        <v>12</v>
      </c>
      <c r="D183">
        <v>7444</v>
      </c>
      <c r="E183">
        <v>46.61</v>
      </c>
      <c r="F183">
        <v>450.16</v>
      </c>
      <c r="G183">
        <f t="shared" si="2"/>
        <v>371.0285</v>
      </c>
    </row>
    <row r="184" customFormat="1" spans="1:7">
      <c r="A184">
        <v>2022</v>
      </c>
      <c r="B184" t="s">
        <v>23</v>
      </c>
      <c r="C184" t="s">
        <v>13</v>
      </c>
      <c r="D184">
        <v>7445</v>
      </c>
      <c r="E184">
        <v>48.35</v>
      </c>
      <c r="F184">
        <v>64.3</v>
      </c>
      <c r="G184">
        <f t="shared" si="2"/>
        <v>369.0775</v>
      </c>
    </row>
    <row r="185" customFormat="1" spans="1:7">
      <c r="A185">
        <v>2022</v>
      </c>
      <c r="B185" t="s">
        <v>23</v>
      </c>
      <c r="C185" t="s">
        <v>14</v>
      </c>
      <c r="D185">
        <v>7446</v>
      </c>
      <c r="E185">
        <v>12.31</v>
      </c>
      <c r="F185">
        <v>441.73</v>
      </c>
      <c r="G185">
        <f t="shared" si="2"/>
        <v>410.5735</v>
      </c>
    </row>
    <row r="186" customFormat="1" spans="1:7">
      <c r="A186">
        <v>2022</v>
      </c>
      <c r="B186" t="s">
        <v>23</v>
      </c>
      <c r="C186" t="s">
        <v>15</v>
      </c>
      <c r="D186">
        <v>7447</v>
      </c>
      <c r="E186">
        <v>25.78</v>
      </c>
      <c r="F186">
        <v>166.79</v>
      </c>
      <c r="G186">
        <f t="shared" si="2"/>
        <v>395.133</v>
      </c>
    </row>
    <row r="187" customFormat="1" spans="1:7">
      <c r="A187">
        <v>2022</v>
      </c>
      <c r="B187" t="s">
        <v>23</v>
      </c>
      <c r="C187" t="s">
        <v>16</v>
      </c>
      <c r="D187">
        <v>7448</v>
      </c>
      <c r="E187">
        <v>14.27</v>
      </c>
      <c r="F187">
        <v>363.36</v>
      </c>
      <c r="G187">
        <f t="shared" si="2"/>
        <v>408.4195</v>
      </c>
    </row>
    <row r="188" customFormat="1" spans="1:7">
      <c r="A188">
        <v>2022</v>
      </c>
      <c r="B188" t="s">
        <v>23</v>
      </c>
      <c r="C188" t="s">
        <v>17</v>
      </c>
      <c r="D188">
        <v>7449</v>
      </c>
      <c r="E188">
        <v>23.43</v>
      </c>
      <c r="F188">
        <v>493.88</v>
      </c>
      <c r="G188">
        <f t="shared" si="2"/>
        <v>397.9355</v>
      </c>
    </row>
    <row r="189" customFormat="1" spans="1:7">
      <c r="A189">
        <v>2022</v>
      </c>
      <c r="B189" t="s">
        <v>23</v>
      </c>
      <c r="C189" t="s">
        <v>8</v>
      </c>
      <c r="D189">
        <v>7450</v>
      </c>
      <c r="E189">
        <v>16.79</v>
      </c>
      <c r="F189">
        <v>298.57</v>
      </c>
      <c r="G189">
        <f t="shared" si="2"/>
        <v>405.6215</v>
      </c>
    </row>
    <row r="190" customFormat="1" spans="1:7">
      <c r="A190">
        <v>2022</v>
      </c>
      <c r="B190" t="s">
        <v>23</v>
      </c>
      <c r="C190" t="s">
        <v>9</v>
      </c>
      <c r="D190">
        <v>7451</v>
      </c>
      <c r="E190">
        <v>35.87</v>
      </c>
      <c r="F190">
        <v>168.18</v>
      </c>
      <c r="G190">
        <f t="shared" si="2"/>
        <v>383.7295</v>
      </c>
    </row>
    <row r="191" customFormat="1" spans="1:7">
      <c r="A191">
        <v>2022</v>
      </c>
      <c r="B191" t="s">
        <v>23</v>
      </c>
      <c r="C191" t="s">
        <v>10</v>
      </c>
      <c r="D191">
        <v>7452</v>
      </c>
      <c r="E191">
        <v>25.53</v>
      </c>
      <c r="F191">
        <v>116.09</v>
      </c>
      <c r="G191">
        <f t="shared" si="2"/>
        <v>395.6705</v>
      </c>
    </row>
    <row r="192" customFormat="1" spans="1:7">
      <c r="A192">
        <v>2022</v>
      </c>
      <c r="B192" t="s">
        <v>23</v>
      </c>
      <c r="C192" t="s">
        <v>11</v>
      </c>
      <c r="D192">
        <v>7453</v>
      </c>
      <c r="E192">
        <v>19.18</v>
      </c>
      <c r="F192">
        <v>226.87</v>
      </c>
      <c r="G192">
        <f t="shared" si="2"/>
        <v>403.023</v>
      </c>
    </row>
    <row r="193" customFormat="1" spans="1:7">
      <c r="A193">
        <v>2022</v>
      </c>
      <c r="B193" t="s">
        <v>23</v>
      </c>
      <c r="C193" t="s">
        <v>12</v>
      </c>
      <c r="D193">
        <v>7454</v>
      </c>
      <c r="E193">
        <v>20.64</v>
      </c>
      <c r="F193">
        <v>457.48</v>
      </c>
      <c r="G193">
        <f t="shared" si="2"/>
        <v>401.394</v>
      </c>
    </row>
    <row r="194" customFormat="1" spans="1:7">
      <c r="A194">
        <v>2022</v>
      </c>
      <c r="B194" t="s">
        <v>23</v>
      </c>
      <c r="C194" t="s">
        <v>13</v>
      </c>
      <c r="D194">
        <v>7455</v>
      </c>
      <c r="E194">
        <v>24.41</v>
      </c>
      <c r="F194">
        <v>417.17</v>
      </c>
      <c r="G194">
        <f t="shared" si="2"/>
        <v>397.1085</v>
      </c>
    </row>
    <row r="195" customFormat="1" spans="1:7">
      <c r="A195">
        <v>2022</v>
      </c>
      <c r="B195" t="s">
        <v>23</v>
      </c>
      <c r="C195" t="s">
        <v>14</v>
      </c>
      <c r="D195">
        <v>7456</v>
      </c>
      <c r="E195">
        <v>20.4</v>
      </c>
      <c r="F195">
        <v>179.37</v>
      </c>
      <c r="G195">
        <f t="shared" si="2"/>
        <v>401.77</v>
      </c>
    </row>
    <row r="196" customFormat="1" spans="1:7">
      <c r="A196">
        <v>2022</v>
      </c>
      <c r="B196" t="s">
        <v>23</v>
      </c>
      <c r="C196" t="s">
        <v>15</v>
      </c>
      <c r="D196">
        <v>7457</v>
      </c>
      <c r="E196">
        <v>28.13</v>
      </c>
      <c r="F196">
        <v>498.1</v>
      </c>
      <c r="G196">
        <f t="shared" ref="G196:G259" si="3">52.43+(0.05*D196)-(1.15*E196)</f>
        <v>392.9305</v>
      </c>
    </row>
    <row r="197" customFormat="1" spans="1:7">
      <c r="A197">
        <v>2022</v>
      </c>
      <c r="B197" t="s">
        <v>23</v>
      </c>
      <c r="C197" t="s">
        <v>16</v>
      </c>
      <c r="D197">
        <v>7458</v>
      </c>
      <c r="E197">
        <v>11.29</v>
      </c>
      <c r="F197">
        <v>252.1</v>
      </c>
      <c r="G197">
        <f t="shared" si="3"/>
        <v>412.3465</v>
      </c>
    </row>
    <row r="198" customFormat="1" spans="1:7">
      <c r="A198">
        <v>2022</v>
      </c>
      <c r="B198" t="s">
        <v>23</v>
      </c>
      <c r="C198" t="s">
        <v>17</v>
      </c>
      <c r="D198">
        <v>7459</v>
      </c>
      <c r="E198">
        <v>21.19</v>
      </c>
      <c r="F198">
        <v>151.12</v>
      </c>
      <c r="G198">
        <f t="shared" si="3"/>
        <v>401.0115</v>
      </c>
    </row>
    <row r="199" customFormat="1" spans="1:7">
      <c r="A199">
        <v>2022</v>
      </c>
      <c r="B199" t="s">
        <v>23</v>
      </c>
      <c r="C199" t="s">
        <v>8</v>
      </c>
      <c r="D199">
        <v>7460</v>
      </c>
      <c r="E199">
        <v>26.45</v>
      </c>
      <c r="F199">
        <v>153.83</v>
      </c>
      <c r="G199">
        <f t="shared" si="3"/>
        <v>395.0125</v>
      </c>
    </row>
    <row r="200" customFormat="1" spans="1:7">
      <c r="A200">
        <v>2022</v>
      </c>
      <c r="B200" t="s">
        <v>23</v>
      </c>
      <c r="C200" t="s">
        <v>9</v>
      </c>
      <c r="D200">
        <v>7461</v>
      </c>
      <c r="E200">
        <v>34.11</v>
      </c>
      <c r="F200">
        <v>491.13</v>
      </c>
      <c r="G200">
        <f t="shared" si="3"/>
        <v>386.2535</v>
      </c>
    </row>
    <row r="201" customFormat="1" spans="1:7">
      <c r="A201">
        <v>2022</v>
      </c>
      <c r="B201" t="s">
        <v>23</v>
      </c>
      <c r="C201" t="s">
        <v>10</v>
      </c>
      <c r="D201">
        <v>7462</v>
      </c>
      <c r="E201">
        <v>20.84</v>
      </c>
      <c r="F201">
        <v>214.28</v>
      </c>
      <c r="G201">
        <f t="shared" si="3"/>
        <v>401.564</v>
      </c>
    </row>
    <row r="202" customFormat="1" spans="1:7">
      <c r="A202">
        <v>2022</v>
      </c>
      <c r="B202" t="s">
        <v>23</v>
      </c>
      <c r="C202" t="s">
        <v>11</v>
      </c>
      <c r="D202">
        <v>7463</v>
      </c>
      <c r="E202">
        <v>15.33</v>
      </c>
      <c r="F202">
        <v>199.87</v>
      </c>
      <c r="G202">
        <f t="shared" si="3"/>
        <v>407.9505</v>
      </c>
    </row>
    <row r="203" customFormat="1" spans="1:7">
      <c r="A203">
        <v>2022</v>
      </c>
      <c r="B203" t="s">
        <v>23</v>
      </c>
      <c r="C203" t="s">
        <v>12</v>
      </c>
      <c r="D203">
        <v>7464</v>
      </c>
      <c r="E203">
        <v>13.05</v>
      </c>
      <c r="F203">
        <v>359.75</v>
      </c>
      <c r="G203">
        <f t="shared" si="3"/>
        <v>410.6225</v>
      </c>
    </row>
    <row r="204" customFormat="1" spans="1:7">
      <c r="A204">
        <v>2022</v>
      </c>
      <c r="B204" t="s">
        <v>23</v>
      </c>
      <c r="C204" t="s">
        <v>13</v>
      </c>
      <c r="D204">
        <v>7465</v>
      </c>
      <c r="E204">
        <v>47.62</v>
      </c>
      <c r="F204">
        <v>402.59</v>
      </c>
      <c r="G204">
        <f t="shared" si="3"/>
        <v>370.917</v>
      </c>
    </row>
    <row r="205" customFormat="1" spans="1:7">
      <c r="A205">
        <v>2022</v>
      </c>
      <c r="B205" t="s">
        <v>23</v>
      </c>
      <c r="C205" t="s">
        <v>14</v>
      </c>
      <c r="D205">
        <v>7466</v>
      </c>
      <c r="E205">
        <v>26.67</v>
      </c>
      <c r="F205">
        <v>179.91</v>
      </c>
      <c r="G205">
        <f t="shared" si="3"/>
        <v>395.0595</v>
      </c>
    </row>
    <row r="206" customFormat="1" spans="1:7">
      <c r="A206">
        <v>2022</v>
      </c>
      <c r="B206" t="s">
        <v>23</v>
      </c>
      <c r="C206" t="s">
        <v>15</v>
      </c>
      <c r="D206">
        <v>7467</v>
      </c>
      <c r="E206">
        <v>33.25</v>
      </c>
      <c r="F206">
        <v>306.35</v>
      </c>
      <c r="G206">
        <f t="shared" si="3"/>
        <v>387.5425</v>
      </c>
    </row>
    <row r="207" customFormat="1" spans="1:7">
      <c r="A207">
        <v>2022</v>
      </c>
      <c r="B207" t="s">
        <v>23</v>
      </c>
      <c r="C207" t="s">
        <v>16</v>
      </c>
      <c r="D207">
        <v>7468</v>
      </c>
      <c r="E207">
        <v>46.77</v>
      </c>
      <c r="F207">
        <v>137.31</v>
      </c>
      <c r="G207">
        <f t="shared" si="3"/>
        <v>372.0445</v>
      </c>
    </row>
    <row r="208" customFormat="1" spans="1:7">
      <c r="A208">
        <v>2022</v>
      </c>
      <c r="B208" t="s">
        <v>23</v>
      </c>
      <c r="C208" t="s">
        <v>17</v>
      </c>
      <c r="D208">
        <v>7469</v>
      </c>
      <c r="E208">
        <v>13.31</v>
      </c>
      <c r="F208">
        <v>472.26</v>
      </c>
      <c r="G208">
        <f t="shared" si="3"/>
        <v>410.5735</v>
      </c>
    </row>
    <row r="209" customFormat="1" spans="1:7">
      <c r="A209">
        <v>2022</v>
      </c>
      <c r="B209" t="s">
        <v>23</v>
      </c>
      <c r="C209" t="s">
        <v>8</v>
      </c>
      <c r="D209">
        <v>7470</v>
      </c>
      <c r="E209">
        <v>45.07</v>
      </c>
      <c r="F209">
        <v>451.52</v>
      </c>
      <c r="G209">
        <f t="shared" si="3"/>
        <v>374.0995</v>
      </c>
    </row>
    <row r="210" customFormat="1" spans="1:7">
      <c r="A210">
        <v>2022</v>
      </c>
      <c r="B210" t="s">
        <v>23</v>
      </c>
      <c r="C210" t="s">
        <v>9</v>
      </c>
      <c r="D210">
        <v>7471</v>
      </c>
      <c r="E210">
        <v>32.06</v>
      </c>
      <c r="F210">
        <v>399</v>
      </c>
      <c r="G210">
        <f t="shared" si="3"/>
        <v>389.111</v>
      </c>
    </row>
    <row r="211" customFormat="1" spans="1:7">
      <c r="A211">
        <v>2022</v>
      </c>
      <c r="B211" t="s">
        <v>24</v>
      </c>
      <c r="C211" t="s">
        <v>10</v>
      </c>
      <c r="D211">
        <v>7472</v>
      </c>
      <c r="E211">
        <v>16.59</v>
      </c>
      <c r="F211">
        <v>355.5</v>
      </c>
      <c r="G211">
        <f t="shared" si="3"/>
        <v>406.9515</v>
      </c>
    </row>
    <row r="212" customFormat="1" spans="1:7">
      <c r="A212">
        <v>2022</v>
      </c>
      <c r="B212" t="s">
        <v>24</v>
      </c>
      <c r="C212" t="s">
        <v>11</v>
      </c>
      <c r="D212">
        <v>7473</v>
      </c>
      <c r="E212">
        <v>26.45</v>
      </c>
      <c r="F212">
        <v>244.46</v>
      </c>
      <c r="G212">
        <f t="shared" si="3"/>
        <v>395.6625</v>
      </c>
    </row>
    <row r="213" customFormat="1" spans="1:7">
      <c r="A213">
        <v>2022</v>
      </c>
      <c r="B213" t="s">
        <v>24</v>
      </c>
      <c r="C213" t="s">
        <v>12</v>
      </c>
      <c r="D213">
        <v>7474</v>
      </c>
      <c r="E213">
        <v>41.1</v>
      </c>
      <c r="F213">
        <v>97.8</v>
      </c>
      <c r="G213">
        <f t="shared" si="3"/>
        <v>378.865</v>
      </c>
    </row>
    <row r="214" customFormat="1" spans="1:7">
      <c r="A214">
        <v>2022</v>
      </c>
      <c r="B214" t="s">
        <v>24</v>
      </c>
      <c r="C214" t="s">
        <v>13</v>
      </c>
      <c r="D214">
        <v>7475</v>
      </c>
      <c r="E214">
        <v>29.21</v>
      </c>
      <c r="F214">
        <v>381.05</v>
      </c>
      <c r="G214">
        <f t="shared" si="3"/>
        <v>392.5885</v>
      </c>
    </row>
    <row r="215" customFormat="1" spans="1:7">
      <c r="A215">
        <v>2022</v>
      </c>
      <c r="B215" t="s">
        <v>24</v>
      </c>
      <c r="C215" t="s">
        <v>14</v>
      </c>
      <c r="D215">
        <v>7476</v>
      </c>
      <c r="E215">
        <v>49.41</v>
      </c>
      <c r="F215">
        <v>465.57</v>
      </c>
      <c r="G215">
        <f t="shared" si="3"/>
        <v>369.4085</v>
      </c>
    </row>
    <row r="216" customFormat="1" spans="1:7">
      <c r="A216">
        <v>2022</v>
      </c>
      <c r="B216" t="s">
        <v>24</v>
      </c>
      <c r="C216" t="s">
        <v>15</v>
      </c>
      <c r="D216">
        <v>7477</v>
      </c>
      <c r="E216">
        <v>25.07</v>
      </c>
      <c r="F216">
        <v>204.78</v>
      </c>
      <c r="G216">
        <f t="shared" si="3"/>
        <v>397.4495</v>
      </c>
    </row>
    <row r="217" customFormat="1" spans="1:7">
      <c r="A217">
        <v>2022</v>
      </c>
      <c r="B217" t="s">
        <v>24</v>
      </c>
      <c r="C217" t="s">
        <v>16</v>
      </c>
      <c r="D217">
        <v>7478</v>
      </c>
      <c r="E217">
        <v>39.98</v>
      </c>
      <c r="F217">
        <v>335.52</v>
      </c>
      <c r="G217">
        <f t="shared" si="3"/>
        <v>380.353</v>
      </c>
    </row>
    <row r="218" customFormat="1" spans="1:7">
      <c r="A218">
        <v>2022</v>
      </c>
      <c r="B218" t="s">
        <v>24</v>
      </c>
      <c r="C218" t="s">
        <v>17</v>
      </c>
      <c r="D218">
        <v>7479</v>
      </c>
      <c r="E218">
        <v>25.72</v>
      </c>
      <c r="F218">
        <v>272.53</v>
      </c>
      <c r="G218">
        <f t="shared" si="3"/>
        <v>396.802</v>
      </c>
    </row>
    <row r="219" customFormat="1" spans="1:7">
      <c r="A219">
        <v>2022</v>
      </c>
      <c r="B219" t="s">
        <v>24</v>
      </c>
      <c r="C219" t="s">
        <v>8</v>
      </c>
      <c r="D219">
        <v>7480</v>
      </c>
      <c r="E219">
        <v>43.17</v>
      </c>
      <c r="F219">
        <v>182.71</v>
      </c>
      <c r="G219">
        <f t="shared" si="3"/>
        <v>376.7845</v>
      </c>
    </row>
    <row r="220" customFormat="1" spans="1:7">
      <c r="A220">
        <v>2022</v>
      </c>
      <c r="B220" t="s">
        <v>24</v>
      </c>
      <c r="C220" t="s">
        <v>9</v>
      </c>
      <c r="D220">
        <v>7481</v>
      </c>
      <c r="E220">
        <v>32.76</v>
      </c>
      <c r="F220">
        <v>414.14</v>
      </c>
      <c r="G220">
        <f t="shared" si="3"/>
        <v>388.806</v>
      </c>
    </row>
    <row r="221" customFormat="1" spans="1:7">
      <c r="A221">
        <v>2022</v>
      </c>
      <c r="B221" t="s">
        <v>24</v>
      </c>
      <c r="C221" t="s">
        <v>10</v>
      </c>
      <c r="D221">
        <v>7482</v>
      </c>
      <c r="E221">
        <v>12.54</v>
      </c>
      <c r="F221">
        <v>460.9</v>
      </c>
      <c r="G221">
        <f t="shared" si="3"/>
        <v>412.109</v>
      </c>
    </row>
    <row r="222" customFormat="1" spans="1:7">
      <c r="A222">
        <v>2022</v>
      </c>
      <c r="B222" t="s">
        <v>24</v>
      </c>
      <c r="C222" t="s">
        <v>11</v>
      </c>
      <c r="D222">
        <v>7483</v>
      </c>
      <c r="E222">
        <v>11.47</v>
      </c>
      <c r="F222">
        <v>257.19</v>
      </c>
      <c r="G222">
        <f t="shared" si="3"/>
        <v>413.3895</v>
      </c>
    </row>
    <row r="223" customFormat="1" spans="1:7">
      <c r="A223">
        <v>2022</v>
      </c>
      <c r="B223" t="s">
        <v>24</v>
      </c>
      <c r="C223" t="s">
        <v>12</v>
      </c>
      <c r="D223">
        <v>7484</v>
      </c>
      <c r="E223">
        <v>15.35</v>
      </c>
      <c r="F223">
        <v>213.33</v>
      </c>
      <c r="G223">
        <f t="shared" si="3"/>
        <v>408.9775</v>
      </c>
    </row>
    <row r="224" customFormat="1" spans="1:7">
      <c r="A224">
        <v>2022</v>
      </c>
      <c r="B224" t="s">
        <v>24</v>
      </c>
      <c r="C224" t="s">
        <v>13</v>
      </c>
      <c r="D224">
        <v>7485</v>
      </c>
      <c r="E224">
        <v>10.55</v>
      </c>
      <c r="F224">
        <v>155.84</v>
      </c>
      <c r="G224">
        <f t="shared" si="3"/>
        <v>414.5475</v>
      </c>
    </row>
    <row r="225" customFormat="1" spans="1:7">
      <c r="A225">
        <v>2022</v>
      </c>
      <c r="B225" t="s">
        <v>24</v>
      </c>
      <c r="C225" t="s">
        <v>14</v>
      </c>
      <c r="D225">
        <v>7486</v>
      </c>
      <c r="E225">
        <v>13.01</v>
      </c>
      <c r="F225">
        <v>336.27</v>
      </c>
      <c r="G225">
        <f t="shared" si="3"/>
        <v>411.7685</v>
      </c>
    </row>
    <row r="226" customFormat="1" spans="1:7">
      <c r="A226">
        <v>2022</v>
      </c>
      <c r="B226" t="s">
        <v>24</v>
      </c>
      <c r="C226" t="s">
        <v>15</v>
      </c>
      <c r="D226">
        <v>7487</v>
      </c>
      <c r="E226">
        <v>37.67</v>
      </c>
      <c r="F226">
        <v>372.08</v>
      </c>
      <c r="G226">
        <f t="shared" si="3"/>
        <v>383.4595</v>
      </c>
    </row>
    <row r="227" customFormat="1" spans="1:7">
      <c r="A227">
        <v>2022</v>
      </c>
      <c r="B227" t="s">
        <v>24</v>
      </c>
      <c r="C227" t="s">
        <v>16</v>
      </c>
      <c r="D227">
        <v>7488</v>
      </c>
      <c r="E227">
        <v>31.37</v>
      </c>
      <c r="F227">
        <v>357.01</v>
      </c>
      <c r="G227">
        <f t="shared" si="3"/>
        <v>390.7545</v>
      </c>
    </row>
    <row r="228" customFormat="1" spans="1:7">
      <c r="A228">
        <v>2022</v>
      </c>
      <c r="B228" t="s">
        <v>24</v>
      </c>
      <c r="C228" t="s">
        <v>17</v>
      </c>
      <c r="D228">
        <v>7489</v>
      </c>
      <c r="E228">
        <v>40</v>
      </c>
      <c r="F228">
        <v>134.34</v>
      </c>
      <c r="G228">
        <f t="shared" si="3"/>
        <v>380.88</v>
      </c>
    </row>
    <row r="229" customFormat="1" spans="1:7">
      <c r="A229">
        <v>2022</v>
      </c>
      <c r="B229" t="s">
        <v>24</v>
      </c>
      <c r="C229" t="s">
        <v>8</v>
      </c>
      <c r="D229">
        <v>7490</v>
      </c>
      <c r="E229">
        <v>46.53</v>
      </c>
      <c r="F229">
        <v>319.74</v>
      </c>
      <c r="G229">
        <f t="shared" si="3"/>
        <v>373.4205</v>
      </c>
    </row>
    <row r="230" customFormat="1" spans="1:7">
      <c r="A230">
        <v>2022</v>
      </c>
      <c r="B230" t="s">
        <v>24</v>
      </c>
      <c r="C230" t="s">
        <v>9</v>
      </c>
      <c r="D230">
        <v>7491</v>
      </c>
      <c r="E230">
        <v>33.41</v>
      </c>
      <c r="F230">
        <v>218.3</v>
      </c>
      <c r="G230">
        <f t="shared" si="3"/>
        <v>388.5585</v>
      </c>
    </row>
    <row r="231" customFormat="1" spans="1:7">
      <c r="A231">
        <v>2022</v>
      </c>
      <c r="B231" t="s">
        <v>24</v>
      </c>
      <c r="C231" t="s">
        <v>10</v>
      </c>
      <c r="D231">
        <v>7492</v>
      </c>
      <c r="E231">
        <v>39.04</v>
      </c>
      <c r="F231">
        <v>464.17</v>
      </c>
      <c r="G231">
        <f t="shared" si="3"/>
        <v>382.134</v>
      </c>
    </row>
    <row r="232" customFormat="1" spans="1:7">
      <c r="A232">
        <v>2022</v>
      </c>
      <c r="B232" t="s">
        <v>24</v>
      </c>
      <c r="C232" t="s">
        <v>11</v>
      </c>
      <c r="D232">
        <v>7493</v>
      </c>
      <c r="E232">
        <v>40.28</v>
      </c>
      <c r="F232">
        <v>185.79</v>
      </c>
      <c r="G232">
        <f t="shared" si="3"/>
        <v>380.758</v>
      </c>
    </row>
    <row r="233" customFormat="1" spans="1:7">
      <c r="A233">
        <v>2022</v>
      </c>
      <c r="B233" t="s">
        <v>24</v>
      </c>
      <c r="C233" t="s">
        <v>12</v>
      </c>
      <c r="D233">
        <v>7494</v>
      </c>
      <c r="E233">
        <v>25.11</v>
      </c>
      <c r="F233">
        <v>340.98</v>
      </c>
      <c r="G233">
        <f t="shared" si="3"/>
        <v>398.2535</v>
      </c>
    </row>
    <row r="234" customFormat="1" spans="1:7">
      <c r="A234">
        <v>2022</v>
      </c>
      <c r="B234" t="s">
        <v>24</v>
      </c>
      <c r="C234" t="s">
        <v>13</v>
      </c>
      <c r="D234">
        <v>7495</v>
      </c>
      <c r="E234">
        <v>19.64</v>
      </c>
      <c r="F234">
        <v>68.4</v>
      </c>
      <c r="G234">
        <f t="shared" si="3"/>
        <v>404.594</v>
      </c>
    </row>
    <row r="235" customFormat="1" spans="1:7">
      <c r="A235">
        <v>2022</v>
      </c>
      <c r="B235" t="s">
        <v>24</v>
      </c>
      <c r="C235" t="s">
        <v>14</v>
      </c>
      <c r="D235">
        <v>7496</v>
      </c>
      <c r="E235">
        <v>18.2</v>
      </c>
      <c r="F235">
        <v>206.39</v>
      </c>
      <c r="G235">
        <f t="shared" si="3"/>
        <v>406.3</v>
      </c>
    </row>
    <row r="236" customFormat="1" spans="1:7">
      <c r="A236">
        <v>2022</v>
      </c>
      <c r="B236" t="s">
        <v>24</v>
      </c>
      <c r="C236" t="s">
        <v>15</v>
      </c>
      <c r="D236">
        <v>7497</v>
      </c>
      <c r="E236">
        <v>20.06</v>
      </c>
      <c r="F236">
        <v>205.65</v>
      </c>
      <c r="G236">
        <f t="shared" si="3"/>
        <v>404.211</v>
      </c>
    </row>
    <row r="237" customFormat="1" spans="1:7">
      <c r="A237">
        <v>2022</v>
      </c>
      <c r="B237" t="s">
        <v>24</v>
      </c>
      <c r="C237" t="s">
        <v>16</v>
      </c>
      <c r="D237">
        <v>7498</v>
      </c>
      <c r="E237">
        <v>20.99</v>
      </c>
      <c r="F237">
        <v>337.7</v>
      </c>
      <c r="G237">
        <f t="shared" si="3"/>
        <v>403.1915</v>
      </c>
    </row>
    <row r="238" customFormat="1" spans="1:7">
      <c r="A238">
        <v>2022</v>
      </c>
      <c r="B238" t="s">
        <v>24</v>
      </c>
      <c r="C238" t="s">
        <v>17</v>
      </c>
      <c r="D238">
        <v>7499</v>
      </c>
      <c r="E238">
        <v>18.29</v>
      </c>
      <c r="F238">
        <v>273.05</v>
      </c>
      <c r="G238">
        <f t="shared" si="3"/>
        <v>406.3465</v>
      </c>
    </row>
    <row r="239" customFormat="1" spans="1:7">
      <c r="A239">
        <v>2022</v>
      </c>
      <c r="B239" t="s">
        <v>24</v>
      </c>
      <c r="C239" t="s">
        <v>8</v>
      </c>
      <c r="D239">
        <v>7500</v>
      </c>
      <c r="E239">
        <v>45.13</v>
      </c>
      <c r="F239">
        <v>244.51</v>
      </c>
      <c r="G239">
        <f t="shared" si="3"/>
        <v>375.5305</v>
      </c>
    </row>
    <row r="240" customFormat="1" spans="1:7">
      <c r="A240">
        <v>2022</v>
      </c>
      <c r="B240" t="s">
        <v>24</v>
      </c>
      <c r="C240" t="s">
        <v>9</v>
      </c>
      <c r="D240">
        <v>7501</v>
      </c>
      <c r="E240">
        <v>40.28</v>
      </c>
      <c r="F240">
        <v>95.15</v>
      </c>
      <c r="G240">
        <f t="shared" si="3"/>
        <v>381.158</v>
      </c>
    </row>
    <row r="241" customFormat="1" spans="1:7">
      <c r="A241">
        <v>2022</v>
      </c>
      <c r="B241" t="s">
        <v>24</v>
      </c>
      <c r="C241" t="s">
        <v>10</v>
      </c>
      <c r="D241">
        <v>7502</v>
      </c>
      <c r="E241">
        <v>11.88</v>
      </c>
      <c r="F241">
        <v>496.88</v>
      </c>
      <c r="G241">
        <f t="shared" si="3"/>
        <v>413.868</v>
      </c>
    </row>
    <row r="242" customFormat="1" spans="1:7">
      <c r="A242">
        <v>2022</v>
      </c>
      <c r="B242" t="s">
        <v>25</v>
      </c>
      <c r="C242" t="s">
        <v>11</v>
      </c>
      <c r="D242">
        <v>7503</v>
      </c>
      <c r="E242">
        <v>20.75</v>
      </c>
      <c r="F242">
        <v>382.92</v>
      </c>
      <c r="G242">
        <f t="shared" si="3"/>
        <v>403.7175</v>
      </c>
    </row>
    <row r="243" customFormat="1" spans="1:7">
      <c r="A243">
        <v>2022</v>
      </c>
      <c r="B243" t="s">
        <v>25</v>
      </c>
      <c r="C243" t="s">
        <v>12</v>
      </c>
      <c r="D243">
        <v>7504</v>
      </c>
      <c r="E243">
        <v>10.89</v>
      </c>
      <c r="F243">
        <v>425.76</v>
      </c>
      <c r="G243">
        <f t="shared" si="3"/>
        <v>415.1065</v>
      </c>
    </row>
    <row r="244" customFormat="1" spans="1:7">
      <c r="A244">
        <v>2022</v>
      </c>
      <c r="B244" t="s">
        <v>25</v>
      </c>
      <c r="C244" t="s">
        <v>13</v>
      </c>
      <c r="D244">
        <v>7505</v>
      </c>
      <c r="E244">
        <v>29.93</v>
      </c>
      <c r="F244">
        <v>317.84</v>
      </c>
      <c r="G244">
        <f t="shared" si="3"/>
        <v>393.2605</v>
      </c>
    </row>
    <row r="245" customFormat="1" spans="1:7">
      <c r="A245">
        <v>2022</v>
      </c>
      <c r="B245" t="s">
        <v>25</v>
      </c>
      <c r="C245" t="s">
        <v>14</v>
      </c>
      <c r="D245">
        <v>7506</v>
      </c>
      <c r="E245">
        <v>29.05</v>
      </c>
      <c r="F245">
        <v>318.12</v>
      </c>
      <c r="G245">
        <f t="shared" si="3"/>
        <v>394.3225</v>
      </c>
    </row>
    <row r="246" customFormat="1" spans="1:7">
      <c r="A246">
        <v>2022</v>
      </c>
      <c r="B246" t="s">
        <v>25</v>
      </c>
      <c r="C246" t="s">
        <v>15</v>
      </c>
      <c r="D246">
        <v>7507</v>
      </c>
      <c r="E246">
        <v>43.25</v>
      </c>
      <c r="F246">
        <v>245.08</v>
      </c>
      <c r="G246">
        <f t="shared" si="3"/>
        <v>378.0425</v>
      </c>
    </row>
    <row r="247" customFormat="1" spans="1:7">
      <c r="A247">
        <v>2022</v>
      </c>
      <c r="B247" t="s">
        <v>25</v>
      </c>
      <c r="C247" t="s">
        <v>16</v>
      </c>
      <c r="D247">
        <v>7508</v>
      </c>
      <c r="E247">
        <v>22.31</v>
      </c>
      <c r="F247">
        <v>369.48</v>
      </c>
      <c r="G247">
        <f t="shared" si="3"/>
        <v>402.1735</v>
      </c>
    </row>
    <row r="248" customFormat="1" spans="1:7">
      <c r="A248">
        <v>2022</v>
      </c>
      <c r="B248" t="s">
        <v>25</v>
      </c>
      <c r="C248" t="s">
        <v>17</v>
      </c>
      <c r="D248">
        <v>7509</v>
      </c>
      <c r="E248">
        <v>42.66</v>
      </c>
      <c r="F248">
        <v>133.87</v>
      </c>
      <c r="G248">
        <f t="shared" si="3"/>
        <v>378.821</v>
      </c>
    </row>
    <row r="249" customFormat="1" spans="1:7">
      <c r="A249">
        <v>2022</v>
      </c>
      <c r="B249" t="s">
        <v>25</v>
      </c>
      <c r="C249" t="s">
        <v>8</v>
      </c>
      <c r="D249">
        <v>7510</v>
      </c>
      <c r="E249">
        <v>48.72</v>
      </c>
      <c r="F249">
        <v>270.95</v>
      </c>
      <c r="G249">
        <f t="shared" si="3"/>
        <v>371.902</v>
      </c>
    </row>
    <row r="250" customFormat="1" spans="1:7">
      <c r="A250">
        <v>2022</v>
      </c>
      <c r="B250" t="s">
        <v>25</v>
      </c>
      <c r="C250" t="s">
        <v>9</v>
      </c>
      <c r="D250">
        <v>7511</v>
      </c>
      <c r="E250">
        <v>13.54</v>
      </c>
      <c r="F250">
        <v>329.15</v>
      </c>
      <c r="G250">
        <f t="shared" si="3"/>
        <v>412.409</v>
      </c>
    </row>
    <row r="251" customFormat="1" spans="1:7">
      <c r="A251">
        <v>2022</v>
      </c>
      <c r="B251" t="s">
        <v>25</v>
      </c>
      <c r="C251" t="s">
        <v>10</v>
      </c>
      <c r="D251">
        <v>7512</v>
      </c>
      <c r="E251">
        <v>41.67</v>
      </c>
      <c r="F251">
        <v>288.56</v>
      </c>
      <c r="G251">
        <f t="shared" si="3"/>
        <v>380.1095</v>
      </c>
    </row>
    <row r="252" customFormat="1" spans="1:7">
      <c r="A252">
        <v>2022</v>
      </c>
      <c r="B252" t="s">
        <v>25</v>
      </c>
      <c r="C252" t="s">
        <v>11</v>
      </c>
      <c r="D252">
        <v>7513</v>
      </c>
      <c r="E252">
        <v>33.6</v>
      </c>
      <c r="F252">
        <v>464.84</v>
      </c>
      <c r="G252">
        <f t="shared" si="3"/>
        <v>389.44</v>
      </c>
    </row>
    <row r="253" customFormat="1" spans="1:7">
      <c r="A253">
        <v>2022</v>
      </c>
      <c r="B253" t="s">
        <v>25</v>
      </c>
      <c r="C253" t="s">
        <v>12</v>
      </c>
      <c r="D253">
        <v>7514</v>
      </c>
      <c r="E253">
        <v>29.2</v>
      </c>
      <c r="F253">
        <v>247.66</v>
      </c>
      <c r="G253">
        <f t="shared" si="3"/>
        <v>394.55</v>
      </c>
    </row>
    <row r="254" customFormat="1" spans="1:7">
      <c r="A254">
        <v>2022</v>
      </c>
      <c r="B254" t="s">
        <v>25</v>
      </c>
      <c r="C254" t="s">
        <v>13</v>
      </c>
      <c r="D254">
        <v>7515</v>
      </c>
      <c r="E254">
        <v>26.82</v>
      </c>
      <c r="F254">
        <v>117.7</v>
      </c>
      <c r="G254">
        <f t="shared" si="3"/>
        <v>397.337</v>
      </c>
    </row>
    <row r="255" customFormat="1" spans="1:7">
      <c r="A255">
        <v>2022</v>
      </c>
      <c r="B255" t="s">
        <v>25</v>
      </c>
      <c r="C255" t="s">
        <v>14</v>
      </c>
      <c r="D255">
        <v>7516</v>
      </c>
      <c r="E255">
        <v>41.39</v>
      </c>
      <c r="F255">
        <v>393.99</v>
      </c>
      <c r="G255">
        <f t="shared" si="3"/>
        <v>380.6315</v>
      </c>
    </row>
    <row r="256" customFormat="1" spans="1:7">
      <c r="A256">
        <v>2022</v>
      </c>
      <c r="B256" t="s">
        <v>25</v>
      </c>
      <c r="C256" t="s">
        <v>15</v>
      </c>
      <c r="D256">
        <v>7517</v>
      </c>
      <c r="E256">
        <v>35.57</v>
      </c>
      <c r="F256">
        <v>119.58</v>
      </c>
      <c r="G256">
        <f t="shared" si="3"/>
        <v>387.3745</v>
      </c>
    </row>
    <row r="257" customFormat="1" spans="1:7">
      <c r="A257">
        <v>2022</v>
      </c>
      <c r="B257" t="s">
        <v>25</v>
      </c>
      <c r="C257" t="s">
        <v>16</v>
      </c>
      <c r="D257">
        <v>7518</v>
      </c>
      <c r="E257">
        <v>42.2</v>
      </c>
      <c r="F257">
        <v>227.11</v>
      </c>
      <c r="G257">
        <f t="shared" si="3"/>
        <v>379.8</v>
      </c>
    </row>
    <row r="258" customFormat="1" spans="1:7">
      <c r="A258">
        <v>2022</v>
      </c>
      <c r="B258" t="s">
        <v>25</v>
      </c>
      <c r="C258" t="s">
        <v>17</v>
      </c>
      <c r="D258">
        <v>7519</v>
      </c>
      <c r="E258">
        <v>46.13</v>
      </c>
      <c r="F258">
        <v>447.96</v>
      </c>
      <c r="G258">
        <f t="shared" si="3"/>
        <v>375.3305</v>
      </c>
    </row>
    <row r="259" customFormat="1" spans="1:7">
      <c r="A259">
        <v>2022</v>
      </c>
      <c r="B259" t="s">
        <v>25</v>
      </c>
      <c r="C259" t="s">
        <v>8</v>
      </c>
      <c r="D259">
        <v>7520</v>
      </c>
      <c r="E259">
        <v>34.69</v>
      </c>
      <c r="F259">
        <v>358.79</v>
      </c>
      <c r="G259">
        <f t="shared" si="3"/>
        <v>388.5365</v>
      </c>
    </row>
    <row r="260" customFormat="1" spans="1:7">
      <c r="A260">
        <v>2022</v>
      </c>
      <c r="B260" t="s">
        <v>25</v>
      </c>
      <c r="C260" t="s">
        <v>9</v>
      </c>
      <c r="D260">
        <v>7521</v>
      </c>
      <c r="E260">
        <v>49.22</v>
      </c>
      <c r="F260">
        <v>203.03</v>
      </c>
      <c r="G260">
        <f t="shared" ref="G260:G323" si="4">52.43+(0.05*D260)-(1.15*E260)</f>
        <v>371.877</v>
      </c>
    </row>
    <row r="261" customFormat="1" spans="1:7">
      <c r="A261">
        <v>2022</v>
      </c>
      <c r="B261" t="s">
        <v>25</v>
      </c>
      <c r="C261" t="s">
        <v>10</v>
      </c>
      <c r="D261">
        <v>7522</v>
      </c>
      <c r="E261">
        <v>34.32</v>
      </c>
      <c r="F261">
        <v>77.55</v>
      </c>
      <c r="G261">
        <f t="shared" si="4"/>
        <v>389.062</v>
      </c>
    </row>
    <row r="262" customFormat="1" spans="1:7">
      <c r="A262">
        <v>2022</v>
      </c>
      <c r="B262" t="s">
        <v>25</v>
      </c>
      <c r="C262" t="s">
        <v>11</v>
      </c>
      <c r="D262">
        <v>7523</v>
      </c>
      <c r="E262">
        <v>35.47</v>
      </c>
      <c r="F262">
        <v>281.11</v>
      </c>
      <c r="G262">
        <f t="shared" si="4"/>
        <v>387.7895</v>
      </c>
    </row>
    <row r="263" customFormat="1" spans="1:7">
      <c r="A263">
        <v>2022</v>
      </c>
      <c r="B263" t="s">
        <v>25</v>
      </c>
      <c r="C263" t="s">
        <v>12</v>
      </c>
      <c r="D263">
        <v>7524</v>
      </c>
      <c r="E263">
        <v>32.19</v>
      </c>
      <c r="F263">
        <v>370.08</v>
      </c>
      <c r="G263">
        <f t="shared" si="4"/>
        <v>391.6115</v>
      </c>
    </row>
    <row r="264" customFormat="1" spans="1:7">
      <c r="A264">
        <v>2022</v>
      </c>
      <c r="B264" t="s">
        <v>25</v>
      </c>
      <c r="C264" t="s">
        <v>13</v>
      </c>
      <c r="D264">
        <v>7525</v>
      </c>
      <c r="E264">
        <v>13.64</v>
      </c>
      <c r="F264">
        <v>356.61</v>
      </c>
      <c r="G264">
        <f t="shared" si="4"/>
        <v>412.994</v>
      </c>
    </row>
    <row r="265" customFormat="1" spans="1:7">
      <c r="A265">
        <v>2022</v>
      </c>
      <c r="B265" t="s">
        <v>25</v>
      </c>
      <c r="C265" t="s">
        <v>14</v>
      </c>
      <c r="D265">
        <v>7526</v>
      </c>
      <c r="E265">
        <v>39.06</v>
      </c>
      <c r="F265">
        <v>432.01</v>
      </c>
      <c r="G265">
        <f t="shared" si="4"/>
        <v>383.811</v>
      </c>
    </row>
    <row r="266" customFormat="1" spans="1:7">
      <c r="A266">
        <v>2022</v>
      </c>
      <c r="B266" t="s">
        <v>25</v>
      </c>
      <c r="C266" t="s">
        <v>15</v>
      </c>
      <c r="D266">
        <v>7527</v>
      </c>
      <c r="E266">
        <v>31.9</v>
      </c>
      <c r="F266">
        <v>410.26</v>
      </c>
      <c r="G266">
        <f t="shared" si="4"/>
        <v>392.095</v>
      </c>
    </row>
    <row r="267" customFormat="1" spans="1:7">
      <c r="A267">
        <v>2022</v>
      </c>
      <c r="B267" t="s">
        <v>25</v>
      </c>
      <c r="C267" t="s">
        <v>16</v>
      </c>
      <c r="D267">
        <v>7528</v>
      </c>
      <c r="E267">
        <v>28.04</v>
      </c>
      <c r="F267">
        <v>313.82</v>
      </c>
      <c r="G267">
        <f t="shared" si="4"/>
        <v>396.584</v>
      </c>
    </row>
    <row r="268" customFormat="1" spans="1:7">
      <c r="A268">
        <v>2022</v>
      </c>
      <c r="B268" t="s">
        <v>25</v>
      </c>
      <c r="C268" t="s">
        <v>17</v>
      </c>
      <c r="D268">
        <v>7529</v>
      </c>
      <c r="E268">
        <v>46.42</v>
      </c>
      <c r="F268">
        <v>460.27</v>
      </c>
      <c r="G268">
        <f t="shared" si="4"/>
        <v>375.497</v>
      </c>
    </row>
    <row r="269" customFormat="1" spans="1:7">
      <c r="A269">
        <v>2022</v>
      </c>
      <c r="B269" t="s">
        <v>25</v>
      </c>
      <c r="C269" t="s">
        <v>8</v>
      </c>
      <c r="D269">
        <v>7530</v>
      </c>
      <c r="E269">
        <v>21.92</v>
      </c>
      <c r="F269">
        <v>468.16</v>
      </c>
      <c r="G269">
        <f t="shared" si="4"/>
        <v>403.722</v>
      </c>
    </row>
    <row r="270" customFormat="1" spans="1:7">
      <c r="A270">
        <v>2022</v>
      </c>
      <c r="B270" t="s">
        <v>25</v>
      </c>
      <c r="C270" t="s">
        <v>9</v>
      </c>
      <c r="D270">
        <v>7531</v>
      </c>
      <c r="E270">
        <v>30.94</v>
      </c>
      <c r="F270">
        <v>428.3</v>
      </c>
      <c r="G270">
        <f t="shared" si="4"/>
        <v>393.399</v>
      </c>
    </row>
    <row r="271" customFormat="1" spans="1:7">
      <c r="A271">
        <v>2022</v>
      </c>
      <c r="B271" t="s">
        <v>25</v>
      </c>
      <c r="C271" t="s">
        <v>10</v>
      </c>
      <c r="D271">
        <v>7532</v>
      </c>
      <c r="E271">
        <v>37.91</v>
      </c>
      <c r="F271">
        <v>158.61</v>
      </c>
      <c r="G271">
        <f t="shared" si="4"/>
        <v>385.4335</v>
      </c>
    </row>
    <row r="272" customFormat="1" spans="1:7">
      <c r="A272">
        <v>2022</v>
      </c>
      <c r="B272" t="s">
        <v>26</v>
      </c>
      <c r="C272" t="s">
        <v>11</v>
      </c>
      <c r="D272">
        <v>7533</v>
      </c>
      <c r="E272">
        <v>41.86</v>
      </c>
      <c r="F272">
        <v>90.04</v>
      </c>
      <c r="G272">
        <f t="shared" si="4"/>
        <v>380.941</v>
      </c>
    </row>
    <row r="273" customFormat="1" spans="1:7">
      <c r="A273">
        <v>2022</v>
      </c>
      <c r="B273" t="s">
        <v>26</v>
      </c>
      <c r="C273" t="s">
        <v>12</v>
      </c>
      <c r="D273">
        <v>7534</v>
      </c>
      <c r="E273">
        <v>28.37</v>
      </c>
      <c r="F273">
        <v>251.43</v>
      </c>
      <c r="G273">
        <f t="shared" si="4"/>
        <v>396.5045</v>
      </c>
    </row>
    <row r="274" customFormat="1" spans="1:7">
      <c r="A274">
        <v>2022</v>
      </c>
      <c r="B274" t="s">
        <v>26</v>
      </c>
      <c r="C274" t="s">
        <v>13</v>
      </c>
      <c r="D274">
        <v>7535</v>
      </c>
      <c r="E274">
        <v>43.68</v>
      </c>
      <c r="F274">
        <v>120.78</v>
      </c>
      <c r="G274">
        <f t="shared" si="4"/>
        <v>378.948</v>
      </c>
    </row>
    <row r="275" customFormat="1" spans="1:7">
      <c r="A275">
        <v>2022</v>
      </c>
      <c r="B275" t="s">
        <v>26</v>
      </c>
      <c r="C275" t="s">
        <v>14</v>
      </c>
      <c r="D275">
        <v>7536</v>
      </c>
      <c r="E275">
        <v>40.76</v>
      </c>
      <c r="F275">
        <v>150.07</v>
      </c>
      <c r="G275">
        <f t="shared" si="4"/>
        <v>382.356</v>
      </c>
    </row>
    <row r="276" customFormat="1" spans="1:7">
      <c r="A276">
        <v>2022</v>
      </c>
      <c r="B276" t="s">
        <v>26</v>
      </c>
      <c r="C276" t="s">
        <v>15</v>
      </c>
      <c r="D276">
        <v>7537</v>
      </c>
      <c r="E276">
        <v>12.65</v>
      </c>
      <c r="F276">
        <v>256.72</v>
      </c>
      <c r="G276">
        <f t="shared" si="4"/>
        <v>414.7325</v>
      </c>
    </row>
    <row r="277" customFormat="1" spans="1:7">
      <c r="A277">
        <v>2022</v>
      </c>
      <c r="B277" t="s">
        <v>26</v>
      </c>
      <c r="C277" t="s">
        <v>16</v>
      </c>
      <c r="D277">
        <v>7538</v>
      </c>
      <c r="E277">
        <v>11.83</v>
      </c>
      <c r="F277">
        <v>126.54</v>
      </c>
      <c r="G277">
        <f t="shared" si="4"/>
        <v>415.7255</v>
      </c>
    </row>
    <row r="278" customFormat="1" spans="1:7">
      <c r="A278">
        <v>2022</v>
      </c>
      <c r="B278" t="s">
        <v>26</v>
      </c>
      <c r="C278" t="s">
        <v>17</v>
      </c>
      <c r="D278">
        <v>7539</v>
      </c>
      <c r="E278">
        <v>34.83</v>
      </c>
      <c r="F278">
        <v>102.28</v>
      </c>
      <c r="G278">
        <f t="shared" si="4"/>
        <v>389.3255</v>
      </c>
    </row>
    <row r="279" customFormat="1" spans="1:7">
      <c r="A279">
        <v>2022</v>
      </c>
      <c r="B279" t="s">
        <v>26</v>
      </c>
      <c r="C279" t="s">
        <v>8</v>
      </c>
      <c r="D279">
        <v>7540</v>
      </c>
      <c r="E279">
        <v>23.9</v>
      </c>
      <c r="F279">
        <v>246.58</v>
      </c>
      <c r="G279">
        <f t="shared" si="4"/>
        <v>401.945</v>
      </c>
    </row>
    <row r="280" customFormat="1" spans="1:7">
      <c r="A280">
        <v>2022</v>
      </c>
      <c r="B280" t="s">
        <v>26</v>
      </c>
      <c r="C280" t="s">
        <v>9</v>
      </c>
      <c r="D280">
        <v>7541</v>
      </c>
      <c r="E280">
        <v>18.37</v>
      </c>
      <c r="F280">
        <v>140.27</v>
      </c>
      <c r="G280">
        <f t="shared" si="4"/>
        <v>408.3545</v>
      </c>
    </row>
    <row r="281" customFormat="1" spans="1:7">
      <c r="A281">
        <v>2022</v>
      </c>
      <c r="B281" t="s">
        <v>26</v>
      </c>
      <c r="C281" t="s">
        <v>10</v>
      </c>
      <c r="D281">
        <v>7542</v>
      </c>
      <c r="E281">
        <v>33.19</v>
      </c>
      <c r="F281">
        <v>341.67</v>
      </c>
      <c r="G281">
        <f t="shared" si="4"/>
        <v>391.3615</v>
      </c>
    </row>
    <row r="282" customFormat="1" spans="1:7">
      <c r="A282">
        <v>2022</v>
      </c>
      <c r="B282" t="s">
        <v>26</v>
      </c>
      <c r="C282" t="s">
        <v>11</v>
      </c>
      <c r="D282">
        <v>7543</v>
      </c>
      <c r="E282">
        <v>23.66</v>
      </c>
      <c r="F282">
        <v>101.68</v>
      </c>
      <c r="G282">
        <f t="shared" si="4"/>
        <v>402.371</v>
      </c>
    </row>
    <row r="283" customFormat="1" spans="1:7">
      <c r="A283">
        <v>2022</v>
      </c>
      <c r="B283" t="s">
        <v>26</v>
      </c>
      <c r="C283" t="s">
        <v>12</v>
      </c>
      <c r="D283">
        <v>7544</v>
      </c>
      <c r="E283">
        <v>31.49</v>
      </c>
      <c r="F283">
        <v>114.11</v>
      </c>
      <c r="G283">
        <f t="shared" si="4"/>
        <v>393.4165</v>
      </c>
    </row>
    <row r="284" customFormat="1" spans="1:7">
      <c r="A284">
        <v>2022</v>
      </c>
      <c r="B284" t="s">
        <v>26</v>
      </c>
      <c r="C284" t="s">
        <v>13</v>
      </c>
      <c r="D284">
        <v>7545</v>
      </c>
      <c r="E284">
        <v>28.4</v>
      </c>
      <c r="F284">
        <v>207.01</v>
      </c>
      <c r="G284">
        <f t="shared" si="4"/>
        <v>397.02</v>
      </c>
    </row>
    <row r="285" customFormat="1" spans="1:7">
      <c r="A285">
        <v>2022</v>
      </c>
      <c r="B285" t="s">
        <v>26</v>
      </c>
      <c r="C285" t="s">
        <v>14</v>
      </c>
      <c r="D285">
        <v>7546</v>
      </c>
      <c r="E285">
        <v>33.39</v>
      </c>
      <c r="F285">
        <v>367.1</v>
      </c>
      <c r="G285">
        <f t="shared" si="4"/>
        <v>391.3315</v>
      </c>
    </row>
    <row r="286" customFormat="1" spans="1:7">
      <c r="A286">
        <v>2022</v>
      </c>
      <c r="B286" t="s">
        <v>26</v>
      </c>
      <c r="C286" t="s">
        <v>15</v>
      </c>
      <c r="D286">
        <v>7547</v>
      </c>
      <c r="E286">
        <v>26.01</v>
      </c>
      <c r="F286">
        <v>117.3</v>
      </c>
      <c r="G286">
        <f t="shared" si="4"/>
        <v>399.8685</v>
      </c>
    </row>
    <row r="287" customFormat="1" spans="1:7">
      <c r="A287">
        <v>2022</v>
      </c>
      <c r="B287" t="s">
        <v>26</v>
      </c>
      <c r="C287" t="s">
        <v>16</v>
      </c>
      <c r="D287">
        <v>7548</v>
      </c>
      <c r="E287">
        <v>37.91</v>
      </c>
      <c r="F287">
        <v>181.81</v>
      </c>
      <c r="G287">
        <f t="shared" si="4"/>
        <v>386.2335</v>
      </c>
    </row>
    <row r="288" customFormat="1" spans="1:7">
      <c r="A288">
        <v>2022</v>
      </c>
      <c r="B288" t="s">
        <v>26</v>
      </c>
      <c r="C288" t="s">
        <v>17</v>
      </c>
      <c r="D288">
        <v>7549</v>
      </c>
      <c r="E288">
        <v>17.2</v>
      </c>
      <c r="F288">
        <v>243.47</v>
      </c>
      <c r="G288">
        <f t="shared" si="4"/>
        <v>410.1</v>
      </c>
    </row>
    <row r="289" customFormat="1" spans="1:7">
      <c r="A289">
        <v>2022</v>
      </c>
      <c r="B289" t="s">
        <v>26</v>
      </c>
      <c r="C289" t="s">
        <v>8</v>
      </c>
      <c r="D289">
        <v>7550</v>
      </c>
      <c r="E289">
        <v>37.86</v>
      </c>
      <c r="F289">
        <v>477.67</v>
      </c>
      <c r="G289">
        <f t="shared" si="4"/>
        <v>386.391</v>
      </c>
    </row>
    <row r="290" customFormat="1" spans="1:7">
      <c r="A290">
        <v>2022</v>
      </c>
      <c r="B290" t="s">
        <v>26</v>
      </c>
      <c r="C290" t="s">
        <v>9</v>
      </c>
      <c r="D290">
        <v>7551</v>
      </c>
      <c r="E290">
        <v>26.47</v>
      </c>
      <c r="F290">
        <v>147.29</v>
      </c>
      <c r="G290">
        <f t="shared" si="4"/>
        <v>399.5395</v>
      </c>
    </row>
    <row r="291" customFormat="1" spans="1:7">
      <c r="A291">
        <v>2022</v>
      </c>
      <c r="B291" t="s">
        <v>26</v>
      </c>
      <c r="C291" t="s">
        <v>10</v>
      </c>
      <c r="D291">
        <v>7552</v>
      </c>
      <c r="E291">
        <v>44.97</v>
      </c>
      <c r="F291">
        <v>334.88</v>
      </c>
      <c r="G291">
        <f t="shared" si="4"/>
        <v>378.3145</v>
      </c>
    </row>
    <row r="292" customFormat="1" spans="1:7">
      <c r="A292">
        <v>2022</v>
      </c>
      <c r="B292" t="s">
        <v>26</v>
      </c>
      <c r="C292" t="s">
        <v>11</v>
      </c>
      <c r="D292">
        <v>7553</v>
      </c>
      <c r="E292">
        <v>30.61</v>
      </c>
      <c r="F292">
        <v>395.64</v>
      </c>
      <c r="G292">
        <f t="shared" si="4"/>
        <v>394.8785</v>
      </c>
    </row>
    <row r="293" customFormat="1" spans="1:7">
      <c r="A293">
        <v>2022</v>
      </c>
      <c r="B293" t="s">
        <v>26</v>
      </c>
      <c r="C293" t="s">
        <v>12</v>
      </c>
      <c r="D293">
        <v>7554</v>
      </c>
      <c r="E293">
        <v>48.92</v>
      </c>
      <c r="F293">
        <v>96.88</v>
      </c>
      <c r="G293">
        <f t="shared" si="4"/>
        <v>373.872</v>
      </c>
    </row>
    <row r="294" customFormat="1" spans="1:7">
      <c r="A294">
        <v>2022</v>
      </c>
      <c r="B294" t="s">
        <v>26</v>
      </c>
      <c r="C294" t="s">
        <v>13</v>
      </c>
      <c r="D294">
        <v>7555</v>
      </c>
      <c r="E294">
        <v>34.08</v>
      </c>
      <c r="F294">
        <v>324.02</v>
      </c>
      <c r="G294">
        <f t="shared" si="4"/>
        <v>390.988</v>
      </c>
    </row>
    <row r="295" customFormat="1" spans="1:7">
      <c r="A295">
        <v>2022</v>
      </c>
      <c r="B295" t="s">
        <v>26</v>
      </c>
      <c r="C295" t="s">
        <v>14</v>
      </c>
      <c r="D295">
        <v>7556</v>
      </c>
      <c r="E295">
        <v>18.95</v>
      </c>
      <c r="F295">
        <v>199.14</v>
      </c>
      <c r="G295">
        <f t="shared" si="4"/>
        <v>408.4375</v>
      </c>
    </row>
    <row r="296" customFormat="1" spans="1:7">
      <c r="A296">
        <v>2022</v>
      </c>
      <c r="B296" t="s">
        <v>26</v>
      </c>
      <c r="C296" t="s">
        <v>15</v>
      </c>
      <c r="D296">
        <v>7557</v>
      </c>
      <c r="E296">
        <v>42.87</v>
      </c>
      <c r="F296">
        <v>130.95</v>
      </c>
      <c r="G296">
        <f t="shared" si="4"/>
        <v>380.9795</v>
      </c>
    </row>
    <row r="297" customFormat="1" spans="1:7">
      <c r="A297">
        <v>2022</v>
      </c>
      <c r="B297" t="s">
        <v>26</v>
      </c>
      <c r="C297" t="s">
        <v>16</v>
      </c>
      <c r="D297">
        <v>7558</v>
      </c>
      <c r="E297">
        <v>23.8</v>
      </c>
      <c r="F297">
        <v>291.54</v>
      </c>
      <c r="G297">
        <f t="shared" si="4"/>
        <v>402.96</v>
      </c>
    </row>
    <row r="298" customFormat="1" spans="1:7">
      <c r="A298">
        <v>2022</v>
      </c>
      <c r="B298" t="s">
        <v>26</v>
      </c>
      <c r="C298" t="s">
        <v>17</v>
      </c>
      <c r="D298">
        <v>7559</v>
      </c>
      <c r="E298">
        <v>23.9</v>
      </c>
      <c r="F298">
        <v>470.01</v>
      </c>
      <c r="G298">
        <f t="shared" si="4"/>
        <v>402.895</v>
      </c>
    </row>
    <row r="299" customFormat="1" spans="1:7">
      <c r="A299">
        <v>2022</v>
      </c>
      <c r="B299" t="s">
        <v>26</v>
      </c>
      <c r="C299" t="s">
        <v>8</v>
      </c>
      <c r="D299">
        <v>7560</v>
      </c>
      <c r="E299">
        <v>11.27</v>
      </c>
      <c r="F299">
        <v>305.22</v>
      </c>
      <c r="G299">
        <f t="shared" si="4"/>
        <v>417.4695</v>
      </c>
    </row>
    <row r="300" customFormat="1" spans="1:7">
      <c r="A300">
        <v>2022</v>
      </c>
      <c r="B300" t="s">
        <v>26</v>
      </c>
      <c r="C300" t="s">
        <v>9</v>
      </c>
      <c r="D300">
        <v>7561</v>
      </c>
      <c r="E300">
        <v>31.95</v>
      </c>
      <c r="F300">
        <v>105.72</v>
      </c>
      <c r="G300">
        <f t="shared" si="4"/>
        <v>393.7375</v>
      </c>
    </row>
    <row r="301" customFormat="1" spans="1:7">
      <c r="A301">
        <v>2022</v>
      </c>
      <c r="B301" t="s">
        <v>26</v>
      </c>
      <c r="C301" t="s">
        <v>10</v>
      </c>
      <c r="D301">
        <v>7562</v>
      </c>
      <c r="E301">
        <v>31.38</v>
      </c>
      <c r="F301">
        <v>233.18</v>
      </c>
      <c r="G301">
        <f t="shared" si="4"/>
        <v>394.443</v>
      </c>
    </row>
    <row r="302" customFormat="1" spans="1:7">
      <c r="A302">
        <v>2022</v>
      </c>
      <c r="B302" t="s">
        <v>26</v>
      </c>
      <c r="C302" t="s">
        <v>11</v>
      </c>
      <c r="D302">
        <v>7563</v>
      </c>
      <c r="E302">
        <v>24.24</v>
      </c>
      <c r="F302">
        <v>460.21</v>
      </c>
      <c r="G302">
        <f t="shared" si="4"/>
        <v>402.704</v>
      </c>
    </row>
    <row r="303" customFormat="1" spans="1:7">
      <c r="A303">
        <v>2022</v>
      </c>
      <c r="B303" t="s">
        <v>27</v>
      </c>
      <c r="C303" t="s">
        <v>12</v>
      </c>
      <c r="D303">
        <v>7564</v>
      </c>
      <c r="E303">
        <v>45.77</v>
      </c>
      <c r="F303">
        <v>2.19</v>
      </c>
      <c r="G303">
        <f t="shared" si="4"/>
        <v>377.9945</v>
      </c>
    </row>
    <row r="304" customFormat="1" spans="1:7">
      <c r="A304">
        <v>2022</v>
      </c>
      <c r="B304" t="s">
        <v>27</v>
      </c>
      <c r="C304" t="s">
        <v>13</v>
      </c>
      <c r="D304">
        <v>7565</v>
      </c>
      <c r="E304">
        <v>15.15</v>
      </c>
      <c r="F304">
        <v>178.23</v>
      </c>
      <c r="G304">
        <f t="shared" si="4"/>
        <v>413.2575</v>
      </c>
    </row>
    <row r="305" customFormat="1" spans="1:7">
      <c r="A305">
        <v>2022</v>
      </c>
      <c r="B305" t="s">
        <v>27</v>
      </c>
      <c r="C305" t="s">
        <v>14</v>
      </c>
      <c r="D305">
        <v>7566</v>
      </c>
      <c r="E305">
        <v>23.2</v>
      </c>
      <c r="F305">
        <v>140.24</v>
      </c>
      <c r="G305">
        <f t="shared" si="4"/>
        <v>404.05</v>
      </c>
    </row>
    <row r="306" customFormat="1" spans="1:7">
      <c r="A306">
        <v>2022</v>
      </c>
      <c r="B306" t="s">
        <v>27</v>
      </c>
      <c r="C306" t="s">
        <v>15</v>
      </c>
      <c r="D306">
        <v>7567</v>
      </c>
      <c r="E306">
        <v>22.86</v>
      </c>
      <c r="F306">
        <v>439.27</v>
      </c>
      <c r="G306">
        <f t="shared" si="4"/>
        <v>404.491</v>
      </c>
    </row>
    <row r="307" customFormat="1" spans="1:7">
      <c r="A307">
        <v>2022</v>
      </c>
      <c r="B307" t="s">
        <v>27</v>
      </c>
      <c r="C307" t="s">
        <v>16</v>
      </c>
      <c r="D307">
        <v>7568</v>
      </c>
      <c r="E307">
        <v>13.69</v>
      </c>
      <c r="F307">
        <v>465.08</v>
      </c>
      <c r="G307">
        <f t="shared" si="4"/>
        <v>415.0865</v>
      </c>
    </row>
    <row r="308" customFormat="1" spans="1:7">
      <c r="A308">
        <v>2022</v>
      </c>
      <c r="B308" t="s">
        <v>27</v>
      </c>
      <c r="C308" t="s">
        <v>17</v>
      </c>
      <c r="D308">
        <v>7569</v>
      </c>
      <c r="E308">
        <v>29.25</v>
      </c>
      <c r="F308">
        <v>459.83</v>
      </c>
      <c r="G308">
        <f t="shared" si="4"/>
        <v>397.2425</v>
      </c>
    </row>
    <row r="309" customFormat="1" spans="1:7">
      <c r="A309">
        <v>2022</v>
      </c>
      <c r="B309" t="s">
        <v>27</v>
      </c>
      <c r="C309" t="s">
        <v>8</v>
      </c>
      <c r="D309">
        <v>7570</v>
      </c>
      <c r="E309">
        <v>37.51</v>
      </c>
      <c r="F309">
        <v>439.89</v>
      </c>
      <c r="G309">
        <f t="shared" si="4"/>
        <v>387.7935</v>
      </c>
    </row>
    <row r="310" customFormat="1" spans="1:7">
      <c r="A310">
        <v>2022</v>
      </c>
      <c r="B310" t="s">
        <v>27</v>
      </c>
      <c r="C310" t="s">
        <v>9</v>
      </c>
      <c r="D310">
        <v>7571</v>
      </c>
      <c r="E310">
        <v>30.47</v>
      </c>
      <c r="F310">
        <v>359.96</v>
      </c>
      <c r="G310">
        <f t="shared" si="4"/>
        <v>395.9395</v>
      </c>
    </row>
    <row r="311" customFormat="1" spans="1:7">
      <c r="A311">
        <v>2022</v>
      </c>
      <c r="B311" t="s">
        <v>27</v>
      </c>
      <c r="C311" t="s">
        <v>10</v>
      </c>
      <c r="D311">
        <v>7572</v>
      </c>
      <c r="E311">
        <v>16.28</v>
      </c>
      <c r="F311">
        <v>317.57</v>
      </c>
      <c r="G311">
        <f t="shared" si="4"/>
        <v>412.308</v>
      </c>
    </row>
    <row r="312" customFormat="1" spans="1:7">
      <c r="A312">
        <v>2022</v>
      </c>
      <c r="B312" t="s">
        <v>27</v>
      </c>
      <c r="C312" t="s">
        <v>11</v>
      </c>
      <c r="D312">
        <v>7573</v>
      </c>
      <c r="E312">
        <v>25.09</v>
      </c>
      <c r="F312">
        <v>224.78</v>
      </c>
      <c r="G312">
        <f t="shared" si="4"/>
        <v>402.2265</v>
      </c>
    </row>
    <row r="313" customFormat="1" spans="1:7">
      <c r="A313">
        <v>2022</v>
      </c>
      <c r="B313" t="s">
        <v>27</v>
      </c>
      <c r="C313" t="s">
        <v>12</v>
      </c>
      <c r="D313">
        <v>7574</v>
      </c>
      <c r="E313">
        <v>10.1</v>
      </c>
      <c r="F313">
        <v>110.36</v>
      </c>
      <c r="G313">
        <f t="shared" si="4"/>
        <v>419.515</v>
      </c>
    </row>
    <row r="314" customFormat="1" spans="1:7">
      <c r="A314">
        <v>2022</v>
      </c>
      <c r="B314" t="s">
        <v>27</v>
      </c>
      <c r="C314" t="s">
        <v>13</v>
      </c>
      <c r="D314">
        <v>7575</v>
      </c>
      <c r="E314">
        <v>44.73</v>
      </c>
      <c r="F314">
        <v>365.54</v>
      </c>
      <c r="G314">
        <f t="shared" si="4"/>
        <v>379.7405</v>
      </c>
    </row>
    <row r="315" customFormat="1" spans="1:7">
      <c r="A315">
        <v>2022</v>
      </c>
      <c r="B315" t="s">
        <v>27</v>
      </c>
      <c r="C315" t="s">
        <v>14</v>
      </c>
      <c r="D315">
        <v>7576</v>
      </c>
      <c r="E315">
        <v>13.38</v>
      </c>
      <c r="F315">
        <v>181.12</v>
      </c>
      <c r="G315">
        <f t="shared" si="4"/>
        <v>415.843</v>
      </c>
    </row>
    <row r="316" customFormat="1" spans="1:7">
      <c r="A316">
        <v>2022</v>
      </c>
      <c r="B316" t="s">
        <v>27</v>
      </c>
      <c r="C316" t="s">
        <v>15</v>
      </c>
      <c r="D316">
        <v>7577</v>
      </c>
      <c r="E316">
        <v>33.89</v>
      </c>
      <c r="F316">
        <v>494.73</v>
      </c>
      <c r="G316">
        <f t="shared" si="4"/>
        <v>392.3065</v>
      </c>
    </row>
    <row r="317" customFormat="1" spans="1:7">
      <c r="A317">
        <v>2022</v>
      </c>
      <c r="B317" t="s">
        <v>27</v>
      </c>
      <c r="C317" t="s">
        <v>16</v>
      </c>
      <c r="D317">
        <v>7578</v>
      </c>
      <c r="E317">
        <v>49.45</v>
      </c>
      <c r="F317">
        <v>402.03</v>
      </c>
      <c r="G317">
        <f t="shared" si="4"/>
        <v>374.4625</v>
      </c>
    </row>
    <row r="318" customFormat="1" spans="1:7">
      <c r="A318">
        <v>2022</v>
      </c>
      <c r="B318" t="s">
        <v>27</v>
      </c>
      <c r="C318" t="s">
        <v>17</v>
      </c>
      <c r="D318">
        <v>7579</v>
      </c>
      <c r="E318">
        <v>31.46</v>
      </c>
      <c r="F318">
        <v>340.06</v>
      </c>
      <c r="G318">
        <f t="shared" si="4"/>
        <v>395.201</v>
      </c>
    </row>
    <row r="319" customFormat="1" spans="1:7">
      <c r="A319">
        <v>2022</v>
      </c>
      <c r="B319" t="s">
        <v>28</v>
      </c>
      <c r="C319" t="s">
        <v>8</v>
      </c>
      <c r="D319">
        <v>7580</v>
      </c>
      <c r="E319">
        <v>46.96</v>
      </c>
      <c r="F319">
        <v>190.66</v>
      </c>
      <c r="G319">
        <f t="shared" si="4"/>
        <v>377.426</v>
      </c>
    </row>
    <row r="320" customFormat="1" spans="1:7">
      <c r="A320">
        <v>2022</v>
      </c>
      <c r="B320" t="s">
        <v>28</v>
      </c>
      <c r="C320" t="s">
        <v>9</v>
      </c>
      <c r="D320">
        <v>7581</v>
      </c>
      <c r="E320">
        <v>19.44</v>
      </c>
      <c r="F320">
        <v>465.16</v>
      </c>
      <c r="G320">
        <f t="shared" si="4"/>
        <v>409.124</v>
      </c>
    </row>
    <row r="321" customFormat="1" spans="1:7">
      <c r="A321">
        <v>2022</v>
      </c>
      <c r="B321" t="s">
        <v>28</v>
      </c>
      <c r="C321" t="s">
        <v>10</v>
      </c>
      <c r="D321">
        <v>7582</v>
      </c>
      <c r="E321">
        <v>40.4</v>
      </c>
      <c r="F321">
        <v>258.41</v>
      </c>
      <c r="G321">
        <f t="shared" si="4"/>
        <v>385.07</v>
      </c>
    </row>
    <row r="322" customFormat="1" spans="1:7">
      <c r="A322">
        <v>2022</v>
      </c>
      <c r="B322" t="s">
        <v>28</v>
      </c>
      <c r="C322" t="s">
        <v>11</v>
      </c>
      <c r="D322">
        <v>7583</v>
      </c>
      <c r="E322">
        <v>31.25</v>
      </c>
      <c r="F322">
        <v>192.26</v>
      </c>
      <c r="G322">
        <f t="shared" si="4"/>
        <v>395.6425</v>
      </c>
    </row>
    <row r="323" customFormat="1" spans="1:7">
      <c r="A323">
        <v>2022</v>
      </c>
      <c r="B323" t="s">
        <v>28</v>
      </c>
      <c r="C323" t="s">
        <v>12</v>
      </c>
      <c r="D323">
        <v>7584</v>
      </c>
      <c r="E323">
        <v>38.82</v>
      </c>
      <c r="F323">
        <v>370.04</v>
      </c>
      <c r="G323">
        <f t="shared" si="4"/>
        <v>386.987</v>
      </c>
    </row>
    <row r="324" customFormat="1" spans="1:7">
      <c r="A324">
        <v>2022</v>
      </c>
      <c r="B324" t="s">
        <v>28</v>
      </c>
      <c r="C324" t="s">
        <v>13</v>
      </c>
      <c r="D324">
        <v>7585</v>
      </c>
      <c r="E324">
        <v>12.49</v>
      </c>
      <c r="F324">
        <v>489.64</v>
      </c>
      <c r="G324">
        <f t="shared" ref="G324:G349" si="5">52.43+(0.05*D324)-(1.15*E324)</f>
        <v>417.3165</v>
      </c>
    </row>
    <row r="325" customFormat="1" spans="1:7">
      <c r="A325">
        <v>2022</v>
      </c>
      <c r="B325" t="s">
        <v>28</v>
      </c>
      <c r="C325" t="s">
        <v>14</v>
      </c>
      <c r="D325">
        <v>7586</v>
      </c>
      <c r="E325">
        <v>15.91</v>
      </c>
      <c r="F325">
        <v>311.4</v>
      </c>
      <c r="G325">
        <f t="shared" si="5"/>
        <v>413.4335</v>
      </c>
    </row>
    <row r="326" customFormat="1" spans="1:7">
      <c r="A326">
        <v>2022</v>
      </c>
      <c r="B326" t="s">
        <v>28</v>
      </c>
      <c r="C326" t="s">
        <v>15</v>
      </c>
      <c r="D326">
        <v>7587</v>
      </c>
      <c r="E326">
        <v>15.32</v>
      </c>
      <c r="F326">
        <v>340.01</v>
      </c>
      <c r="G326">
        <f t="shared" si="5"/>
        <v>414.162</v>
      </c>
    </row>
    <row r="327" customFormat="1" spans="1:7">
      <c r="A327">
        <v>2022</v>
      </c>
      <c r="B327" t="s">
        <v>28</v>
      </c>
      <c r="C327" t="s">
        <v>16</v>
      </c>
      <c r="D327">
        <v>7588</v>
      </c>
      <c r="E327">
        <v>37.49</v>
      </c>
      <c r="F327">
        <v>348.49</v>
      </c>
      <c r="G327">
        <f t="shared" si="5"/>
        <v>388.7165</v>
      </c>
    </row>
    <row r="328" customFormat="1" spans="1:7">
      <c r="A328">
        <v>2022</v>
      </c>
      <c r="B328" t="s">
        <v>28</v>
      </c>
      <c r="C328" t="s">
        <v>17</v>
      </c>
      <c r="D328">
        <v>7589</v>
      </c>
      <c r="E328">
        <v>43.78</v>
      </c>
      <c r="F328">
        <v>337.42</v>
      </c>
      <c r="G328">
        <f t="shared" si="5"/>
        <v>381.533</v>
      </c>
    </row>
    <row r="329" customFormat="1" spans="1:7">
      <c r="A329">
        <v>2022</v>
      </c>
      <c r="B329" t="s">
        <v>28</v>
      </c>
      <c r="C329" t="s">
        <v>8</v>
      </c>
      <c r="D329">
        <v>7590</v>
      </c>
      <c r="E329">
        <v>39.98</v>
      </c>
      <c r="F329">
        <v>103.76</v>
      </c>
      <c r="G329">
        <f t="shared" si="5"/>
        <v>385.953</v>
      </c>
    </row>
    <row r="330" customFormat="1" spans="1:7">
      <c r="A330">
        <v>2022</v>
      </c>
      <c r="B330" t="s">
        <v>28</v>
      </c>
      <c r="C330" t="s">
        <v>9</v>
      </c>
      <c r="D330">
        <v>7591</v>
      </c>
      <c r="E330">
        <v>11.22</v>
      </c>
      <c r="F330">
        <v>308.72</v>
      </c>
      <c r="G330">
        <f t="shared" si="5"/>
        <v>419.077</v>
      </c>
    </row>
    <row r="331" customFormat="1" spans="1:7">
      <c r="A331">
        <v>2022</v>
      </c>
      <c r="B331" t="s">
        <v>28</v>
      </c>
      <c r="C331" t="s">
        <v>10</v>
      </c>
      <c r="D331">
        <v>7592</v>
      </c>
      <c r="E331">
        <v>44.69</v>
      </c>
      <c r="F331">
        <v>203</v>
      </c>
      <c r="G331">
        <f t="shared" si="5"/>
        <v>380.6365</v>
      </c>
    </row>
    <row r="332" customFormat="1" spans="1:7">
      <c r="A332">
        <v>2022</v>
      </c>
      <c r="B332" t="s">
        <v>28</v>
      </c>
      <c r="C332" t="s">
        <v>11</v>
      </c>
      <c r="D332">
        <v>7593</v>
      </c>
      <c r="E332">
        <v>24.17</v>
      </c>
      <c r="F332">
        <v>112.43</v>
      </c>
      <c r="G332">
        <f t="shared" si="5"/>
        <v>404.2845</v>
      </c>
    </row>
    <row r="333" customFormat="1" spans="1:7">
      <c r="A333">
        <v>2022</v>
      </c>
      <c r="B333" t="s">
        <v>28</v>
      </c>
      <c r="C333" t="s">
        <v>12</v>
      </c>
      <c r="D333">
        <v>7594</v>
      </c>
      <c r="E333">
        <v>25.89</v>
      </c>
      <c r="F333">
        <v>121.43</v>
      </c>
      <c r="G333">
        <f t="shared" si="5"/>
        <v>402.3565</v>
      </c>
    </row>
    <row r="334" customFormat="1" spans="1:7">
      <c r="A334">
        <v>2022</v>
      </c>
      <c r="B334" t="s">
        <v>28</v>
      </c>
      <c r="C334" t="s">
        <v>13</v>
      </c>
      <c r="D334">
        <v>7595</v>
      </c>
      <c r="E334">
        <v>14.19</v>
      </c>
      <c r="F334">
        <v>379.95</v>
      </c>
      <c r="G334">
        <f t="shared" si="5"/>
        <v>415.8615</v>
      </c>
    </row>
    <row r="335" customFormat="1" spans="1:7">
      <c r="A335">
        <v>2022</v>
      </c>
      <c r="B335" t="s">
        <v>28</v>
      </c>
      <c r="C335" t="s">
        <v>14</v>
      </c>
      <c r="D335">
        <v>7596</v>
      </c>
      <c r="E335">
        <v>39.5</v>
      </c>
      <c r="F335">
        <v>362.48</v>
      </c>
      <c r="G335">
        <f t="shared" si="5"/>
        <v>386.805</v>
      </c>
    </row>
    <row r="336" customFormat="1" spans="1:7">
      <c r="A336">
        <v>2022</v>
      </c>
      <c r="B336" t="s">
        <v>28</v>
      </c>
      <c r="C336" t="s">
        <v>15</v>
      </c>
      <c r="D336">
        <v>7597</v>
      </c>
      <c r="E336">
        <v>17.29</v>
      </c>
      <c r="F336">
        <v>470.74</v>
      </c>
      <c r="G336">
        <f t="shared" si="5"/>
        <v>412.3965</v>
      </c>
    </row>
    <row r="337" customFormat="1" spans="1:7">
      <c r="A337">
        <v>2022</v>
      </c>
      <c r="B337" t="s">
        <v>28</v>
      </c>
      <c r="C337" t="s">
        <v>16</v>
      </c>
      <c r="D337">
        <v>7598</v>
      </c>
      <c r="E337">
        <v>32.56</v>
      </c>
      <c r="F337">
        <v>305.26</v>
      </c>
      <c r="G337">
        <f t="shared" si="5"/>
        <v>394.886</v>
      </c>
    </row>
    <row r="338" customFormat="1" spans="1:7">
      <c r="A338">
        <v>2022</v>
      </c>
      <c r="B338" t="s">
        <v>28</v>
      </c>
      <c r="C338" t="s">
        <v>17</v>
      </c>
      <c r="D338">
        <v>7599</v>
      </c>
      <c r="E338">
        <v>43.63</v>
      </c>
      <c r="F338">
        <v>241.35</v>
      </c>
      <c r="G338">
        <f t="shared" si="5"/>
        <v>382.2055</v>
      </c>
    </row>
    <row r="339" customFormat="1" spans="1:7">
      <c r="A339">
        <v>2022</v>
      </c>
      <c r="B339" t="s">
        <v>28</v>
      </c>
      <c r="C339" t="s">
        <v>8</v>
      </c>
      <c r="D339">
        <v>7600</v>
      </c>
      <c r="E339">
        <v>13.57</v>
      </c>
      <c r="F339">
        <v>213.14</v>
      </c>
      <c r="G339">
        <f t="shared" si="5"/>
        <v>416.8245</v>
      </c>
    </row>
    <row r="340" customFormat="1" spans="1:7">
      <c r="A340">
        <v>2022</v>
      </c>
      <c r="B340" t="s">
        <v>28</v>
      </c>
      <c r="C340" t="s">
        <v>9</v>
      </c>
      <c r="D340">
        <v>7601</v>
      </c>
      <c r="E340">
        <v>31.41</v>
      </c>
      <c r="F340">
        <v>237.07</v>
      </c>
      <c r="G340">
        <f t="shared" si="5"/>
        <v>396.3585</v>
      </c>
    </row>
    <row r="341" customFormat="1" spans="1:7">
      <c r="A341">
        <v>2022</v>
      </c>
      <c r="B341" t="s">
        <v>28</v>
      </c>
      <c r="C341" t="s">
        <v>10</v>
      </c>
      <c r="D341">
        <v>7602</v>
      </c>
      <c r="E341">
        <v>19.33</v>
      </c>
      <c r="F341">
        <v>359.41</v>
      </c>
      <c r="G341">
        <f t="shared" si="5"/>
        <v>410.3005</v>
      </c>
    </row>
    <row r="342" customFormat="1" spans="1:7">
      <c r="A342">
        <v>2022</v>
      </c>
      <c r="B342" t="s">
        <v>28</v>
      </c>
      <c r="C342" t="s">
        <v>11</v>
      </c>
      <c r="D342">
        <v>7603</v>
      </c>
      <c r="E342">
        <v>23.72</v>
      </c>
      <c r="F342">
        <v>225.18</v>
      </c>
      <c r="G342">
        <f t="shared" si="5"/>
        <v>405.302</v>
      </c>
    </row>
    <row r="343" customFormat="1" spans="1:7">
      <c r="A343">
        <v>2022</v>
      </c>
      <c r="B343" t="s">
        <v>28</v>
      </c>
      <c r="C343" t="s">
        <v>12</v>
      </c>
      <c r="D343">
        <v>7604</v>
      </c>
      <c r="E343">
        <v>28.96</v>
      </c>
      <c r="F343">
        <v>88.21</v>
      </c>
      <c r="G343">
        <f t="shared" si="5"/>
        <v>399.326</v>
      </c>
    </row>
    <row r="344" customFormat="1" spans="1:7">
      <c r="A344">
        <v>2022</v>
      </c>
      <c r="B344" t="s">
        <v>28</v>
      </c>
      <c r="C344" t="s">
        <v>13</v>
      </c>
      <c r="D344">
        <v>7605</v>
      </c>
      <c r="E344">
        <v>24.2</v>
      </c>
      <c r="F344">
        <v>325.42</v>
      </c>
      <c r="G344">
        <f t="shared" si="5"/>
        <v>404.85</v>
      </c>
    </row>
    <row r="345" customFormat="1" spans="1:7">
      <c r="A345">
        <v>2022</v>
      </c>
      <c r="B345" t="s">
        <v>28</v>
      </c>
      <c r="C345" t="s">
        <v>14</v>
      </c>
      <c r="D345">
        <v>7606</v>
      </c>
      <c r="E345">
        <v>35.95</v>
      </c>
      <c r="F345">
        <v>334.97</v>
      </c>
      <c r="G345">
        <f t="shared" si="5"/>
        <v>391.3875</v>
      </c>
    </row>
    <row r="346" customFormat="1" spans="1:7">
      <c r="A346">
        <v>2022</v>
      </c>
      <c r="B346" t="s">
        <v>28</v>
      </c>
      <c r="C346" t="s">
        <v>15</v>
      </c>
      <c r="D346">
        <v>7607</v>
      </c>
      <c r="E346">
        <v>29.18</v>
      </c>
      <c r="F346">
        <v>298.36</v>
      </c>
      <c r="G346">
        <f t="shared" si="5"/>
        <v>399.223</v>
      </c>
    </row>
    <row r="347" customFormat="1" spans="1:7">
      <c r="A347">
        <v>2022</v>
      </c>
      <c r="B347" t="s">
        <v>28</v>
      </c>
      <c r="C347" t="s">
        <v>16</v>
      </c>
      <c r="D347">
        <v>7608</v>
      </c>
      <c r="E347">
        <v>33.37</v>
      </c>
      <c r="F347">
        <v>95.44</v>
      </c>
      <c r="G347">
        <f t="shared" si="5"/>
        <v>394.4545</v>
      </c>
    </row>
    <row r="348" customFormat="1" spans="1:7">
      <c r="A348">
        <v>2022</v>
      </c>
      <c r="B348" t="s">
        <v>28</v>
      </c>
      <c r="C348" t="s">
        <v>17</v>
      </c>
      <c r="D348">
        <v>7609</v>
      </c>
      <c r="E348">
        <v>39.47</v>
      </c>
      <c r="F348">
        <v>401.9</v>
      </c>
      <c r="G348">
        <f t="shared" si="5"/>
        <v>387.4895</v>
      </c>
    </row>
    <row r="349" customFormat="1" spans="1:7">
      <c r="A349">
        <v>2022</v>
      </c>
      <c r="B349" t="s">
        <v>28</v>
      </c>
      <c r="C349" t="s">
        <v>8</v>
      </c>
      <c r="D349">
        <v>7610</v>
      </c>
      <c r="E349">
        <v>32.31</v>
      </c>
      <c r="F349">
        <v>278.63</v>
      </c>
      <c r="G349">
        <f t="shared" si="5"/>
        <v>395.7735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68"/>
  <sheetViews>
    <sheetView workbookViewId="0">
      <selection activeCell="Q12" sqref="Q12:R20"/>
    </sheetView>
  </sheetViews>
  <sheetFormatPr defaultColWidth="8.72727272727273" defaultRowHeight="14.5"/>
  <cols>
    <col min="4" max="4" width="10.7272727272727" customWidth="1"/>
  </cols>
  <sheetData>
    <row r="1" ht="15.25"/>
    <row r="2" ht="28.5" spans="3:18">
      <c r="C2" s="114"/>
      <c r="D2" s="114"/>
      <c r="E2" s="115" t="s">
        <v>71</v>
      </c>
      <c r="F2" s="116"/>
      <c r="G2" s="116"/>
      <c r="H2" s="116"/>
      <c r="I2" s="116"/>
      <c r="J2" s="116"/>
      <c r="K2" s="116"/>
      <c r="L2" s="116"/>
      <c r="M2" s="116"/>
      <c r="N2" s="116"/>
      <c r="O2" s="117"/>
    </row>
    <row r="3" ht="29.25" spans="3:18">
      <c r="C3" s="114"/>
      <c r="D3" s="114"/>
      <c r="E3" s="118"/>
      <c r="F3" s="119"/>
      <c r="G3" s="119"/>
      <c r="H3" s="119"/>
      <c r="I3" s="119"/>
      <c r="J3" s="119"/>
      <c r="K3" s="119"/>
      <c r="L3" s="119"/>
      <c r="M3" s="119"/>
      <c r="N3" s="119"/>
      <c r="O3" s="120"/>
    </row>
    <row r="4" spans="3:18"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3:18"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18.5" spans="3:18">
      <c r="C6" s="17"/>
      <c r="D6" s="17"/>
      <c r="E6" s="17"/>
      <c r="F6" s="17"/>
      <c r="G6" s="93" t="s">
        <v>72</v>
      </c>
      <c r="H6" s="17"/>
      <c r="I6" s="17"/>
      <c r="J6" s="17"/>
      <c r="K6" s="17"/>
      <c r="L6" s="17"/>
      <c r="M6" s="5"/>
    </row>
    <row r="7" ht="19.25" spans="3:18"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3:18">
      <c r="C8" s="23" t="s">
        <v>73</v>
      </c>
      <c r="D8" s="24"/>
      <c r="E8" s="25"/>
      <c r="F8" s="26" t="s">
        <v>74</v>
      </c>
      <c r="G8" s="27"/>
      <c r="H8" s="28"/>
      <c r="I8" s="29" t="s">
        <v>75</v>
      </c>
      <c r="J8" s="30"/>
      <c r="K8" s="31"/>
      <c r="L8" s="32" t="s">
        <v>76</v>
      </c>
      <c r="M8" s="33"/>
      <c r="N8" s="34"/>
      <c r="O8" s="35" t="s">
        <v>77</v>
      </c>
      <c r="P8" s="36"/>
      <c r="Q8" s="37"/>
    </row>
    <row r="9" spans="3:18">
      <c r="C9" s="38"/>
      <c r="D9" s="39"/>
      <c r="E9" s="40"/>
      <c r="F9" s="41"/>
      <c r="G9" s="42"/>
      <c r="H9" s="43"/>
      <c r="I9" s="44"/>
      <c r="J9" s="45"/>
      <c r="K9" s="46"/>
      <c r="L9" s="47"/>
      <c r="M9" s="48"/>
      <c r="N9" s="49"/>
      <c r="O9" s="50"/>
      <c r="P9" s="51"/>
      <c r="Q9" s="52"/>
    </row>
    <row r="10" ht="15.25" spans="3:18">
      <c r="C10" s="53"/>
      <c r="D10" s="54"/>
      <c r="E10" s="55"/>
      <c r="F10" s="56"/>
      <c r="G10" s="57"/>
      <c r="H10" s="58"/>
      <c r="I10" s="59"/>
      <c r="J10" s="60"/>
      <c r="K10" s="61"/>
      <c r="L10" s="62"/>
      <c r="M10" s="63"/>
      <c r="N10" s="64"/>
      <c r="O10" s="65"/>
      <c r="P10" s="66"/>
      <c r="Q10" s="67"/>
    </row>
    <row r="11" ht="15.25"/>
    <row r="12" spans="3:18">
      <c r="Q12" s="68" t="s">
        <v>78</v>
      </c>
      <c r="R12" s="69"/>
    </row>
    <row r="13" spans="3:18">
      <c r="Q13" s="70"/>
      <c r="R13" s="71"/>
    </row>
    <row r="14" spans="3:18">
      <c r="Q14" s="70"/>
      <c r="R14" s="71"/>
    </row>
    <row r="15" spans="3:18">
      <c r="Q15" s="70"/>
      <c r="R15" s="71"/>
    </row>
    <row r="16" spans="3:18">
      <c r="C16" s="72"/>
      <c r="D16" s="72"/>
      <c r="E16" s="72"/>
      <c r="F16" s="72"/>
      <c r="G16" s="72"/>
      <c r="H16" s="72"/>
      <c r="Q16" s="70"/>
      <c r="R16" s="71"/>
    </row>
    <row r="17" spans="3:18">
      <c r="C17" s="72"/>
      <c r="D17" s="72"/>
      <c r="E17" s="73"/>
      <c r="F17" s="72"/>
      <c r="G17" s="72"/>
      <c r="H17" s="72"/>
      <c r="Q17" s="70"/>
      <c r="R17" s="71"/>
    </row>
    <row r="18" spans="3:18">
      <c r="C18" s="72"/>
      <c r="D18" s="72"/>
      <c r="E18" s="73"/>
      <c r="F18" s="72"/>
      <c r="G18" s="72"/>
      <c r="H18" s="72"/>
      <c r="Q18" s="70"/>
      <c r="R18" s="71"/>
    </row>
    <row r="19" spans="3:18">
      <c r="Q19" s="70"/>
      <c r="R19" s="71"/>
    </row>
    <row r="20" ht="15.25" spans="3:18">
      <c r="C20" s="72"/>
      <c r="D20" s="72"/>
      <c r="E20" s="72"/>
      <c r="F20" s="72"/>
      <c r="Q20" s="91"/>
      <c r="R20" s="92"/>
    </row>
    <row r="21" spans="3:18">
      <c r="C21" s="72"/>
      <c r="D21" s="72"/>
      <c r="E21" s="84"/>
      <c r="F21" s="72"/>
    </row>
    <row r="22" spans="3:18">
      <c r="C22" s="72"/>
      <c r="D22" s="72"/>
      <c r="E22" s="84"/>
      <c r="F22" s="72"/>
    </row>
    <row r="28" ht="15.25"/>
    <row r="29" ht="23.5" spans="3:18">
      <c r="C29" s="93"/>
      <c r="D29" s="93"/>
      <c r="E29" s="93"/>
      <c r="F29" s="93"/>
      <c r="G29" s="93"/>
      <c r="H29" s="8" t="s">
        <v>79</v>
      </c>
      <c r="I29" s="9"/>
      <c r="J29" s="9"/>
      <c r="K29" s="9"/>
      <c r="L29" s="10"/>
    </row>
    <row r="30" ht="24.25" spans="3:18">
      <c r="C30" s="93"/>
      <c r="D30" s="93"/>
      <c r="E30" s="93"/>
      <c r="F30" s="93"/>
      <c r="G30" s="93"/>
      <c r="H30" s="14"/>
      <c r="I30" s="15"/>
      <c r="J30" s="15"/>
      <c r="K30" s="15"/>
      <c r="L30" s="16"/>
    </row>
    <row r="42" ht="15.25"/>
    <row r="43" spans="2:20">
      <c r="E43" s="32" t="s">
        <v>80</v>
      </c>
      <c r="F43" s="74"/>
      <c r="G43" s="75"/>
      <c r="M43" s="35" t="s">
        <v>81</v>
      </c>
      <c r="N43" s="76"/>
      <c r="O43" s="77"/>
    </row>
    <row r="44" spans="2:20">
      <c r="E44" s="78"/>
      <c r="F44" s="79"/>
      <c r="G44" s="80"/>
      <c r="M44" s="81"/>
      <c r="N44" s="82"/>
      <c r="O44" s="83"/>
    </row>
    <row r="45" ht="15.25" spans="2:20">
      <c r="E45" s="85"/>
      <c r="F45" s="86"/>
      <c r="G45" s="87"/>
      <c r="M45" s="88"/>
      <c r="N45" s="89"/>
      <c r="O45" s="90"/>
    </row>
    <row r="47" spans="2:20">
      <c r="B47" s="111"/>
      <c r="C47" s="111"/>
      <c r="D47" s="111"/>
      <c r="E47" s="111"/>
      <c r="F47" s="111"/>
      <c r="G47" s="111"/>
      <c r="H47" s="111"/>
      <c r="I47" s="111"/>
      <c r="J47" s="111"/>
      <c r="K47" s="111"/>
    </row>
    <row r="48" spans="2:20">
      <c r="B48" s="94" t="s">
        <v>82</v>
      </c>
      <c r="C48" s="95"/>
      <c r="D48" s="95"/>
      <c r="E48" s="95"/>
      <c r="F48" s="95"/>
      <c r="G48" s="95"/>
      <c r="H48" s="95"/>
      <c r="I48" s="95"/>
      <c r="J48" s="96"/>
      <c r="K48" s="111"/>
      <c r="L48" s="97" t="s">
        <v>83</v>
      </c>
      <c r="M48" s="98"/>
      <c r="N48" s="98"/>
      <c r="O48" s="98"/>
      <c r="P48" s="98"/>
      <c r="Q48" s="98"/>
      <c r="R48" s="98"/>
      <c r="S48" s="98"/>
      <c r="T48" s="99"/>
    </row>
    <row r="49" spans="2:20">
      <c r="B49" s="100"/>
      <c r="C49" s="101"/>
      <c r="D49" s="101"/>
      <c r="E49" s="101"/>
      <c r="F49" s="101"/>
      <c r="G49" s="101"/>
      <c r="H49" s="101"/>
      <c r="I49" s="101"/>
      <c r="J49" s="102"/>
      <c r="K49" s="111"/>
      <c r="L49" s="103"/>
      <c r="M49" s="45"/>
      <c r="N49" s="45"/>
      <c r="O49" s="45"/>
      <c r="P49" s="45"/>
      <c r="Q49" s="45"/>
      <c r="R49" s="45"/>
      <c r="S49" s="45"/>
      <c r="T49" s="104"/>
    </row>
    <row r="50" spans="2:20">
      <c r="B50" s="100"/>
      <c r="C50" s="101"/>
      <c r="D50" s="101"/>
      <c r="E50" s="101"/>
      <c r="F50" s="101"/>
      <c r="G50" s="101"/>
      <c r="H50" s="101"/>
      <c r="I50" s="101"/>
      <c r="J50" s="102"/>
      <c r="L50" s="103"/>
      <c r="M50" s="45"/>
      <c r="N50" s="45"/>
      <c r="O50" s="45"/>
      <c r="P50" s="45"/>
      <c r="Q50" s="45"/>
      <c r="R50" s="45"/>
      <c r="S50" s="45"/>
      <c r="T50" s="104"/>
    </row>
    <row r="51" spans="2:20">
      <c r="B51" s="100"/>
      <c r="C51" s="101"/>
      <c r="D51" s="101"/>
      <c r="E51" s="101"/>
      <c r="F51" s="101"/>
      <c r="G51" s="101"/>
      <c r="H51" s="101"/>
      <c r="I51" s="101"/>
      <c r="J51" s="102"/>
      <c r="L51" s="103"/>
      <c r="M51" s="45"/>
      <c r="N51" s="45"/>
      <c r="O51" s="45"/>
      <c r="P51" s="45"/>
      <c r="Q51" s="45"/>
      <c r="R51" s="45"/>
      <c r="S51" s="45"/>
      <c r="T51" s="104"/>
    </row>
    <row r="52" spans="2:20">
      <c r="B52" s="100"/>
      <c r="C52" s="101"/>
      <c r="D52" s="101"/>
      <c r="E52" s="101"/>
      <c r="F52" s="101"/>
      <c r="G52" s="101"/>
      <c r="H52" s="101"/>
      <c r="I52" s="101"/>
      <c r="J52" s="102"/>
      <c r="L52" s="103"/>
      <c r="M52" s="45"/>
      <c r="N52" s="45"/>
      <c r="O52" s="45"/>
      <c r="P52" s="45"/>
      <c r="Q52" s="45"/>
      <c r="R52" s="45"/>
      <c r="S52" s="45"/>
      <c r="T52" s="104"/>
    </row>
    <row r="53" spans="2:20">
      <c r="B53" s="100"/>
      <c r="C53" s="101"/>
      <c r="D53" s="101"/>
      <c r="E53" s="101"/>
      <c r="F53" s="101"/>
      <c r="G53" s="101"/>
      <c r="H53" s="101"/>
      <c r="I53" s="101"/>
      <c r="J53" s="102"/>
      <c r="L53" s="103"/>
      <c r="M53" s="45"/>
      <c r="N53" s="45"/>
      <c r="O53" s="45"/>
      <c r="P53" s="45"/>
      <c r="Q53" s="45"/>
      <c r="R53" s="45"/>
      <c r="S53" s="45"/>
      <c r="T53" s="104"/>
    </row>
    <row r="54" spans="2:20">
      <c r="B54" s="100"/>
      <c r="C54" s="101"/>
      <c r="D54" s="101"/>
      <c r="E54" s="101"/>
      <c r="F54" s="101"/>
      <c r="G54" s="101"/>
      <c r="H54" s="101"/>
      <c r="I54" s="101"/>
      <c r="J54" s="102"/>
      <c r="L54" s="103"/>
      <c r="M54" s="45"/>
      <c r="N54" s="45"/>
      <c r="O54" s="45"/>
      <c r="P54" s="45"/>
      <c r="Q54" s="45"/>
      <c r="R54" s="45"/>
      <c r="S54" s="45"/>
      <c r="T54" s="104"/>
    </row>
    <row r="55" spans="2:20">
      <c r="B55" s="100"/>
      <c r="C55" s="101"/>
      <c r="D55" s="101"/>
      <c r="E55" s="101"/>
      <c r="F55" s="101"/>
      <c r="G55" s="101"/>
      <c r="H55" s="101"/>
      <c r="I55" s="101"/>
      <c r="J55" s="102"/>
      <c r="L55" s="103"/>
      <c r="M55" s="45"/>
      <c r="N55" s="45"/>
      <c r="O55" s="45"/>
      <c r="P55" s="45"/>
      <c r="Q55" s="45"/>
      <c r="R55" s="45"/>
      <c r="S55" s="45"/>
      <c r="T55" s="104"/>
    </row>
    <row r="56" spans="2:20">
      <c r="B56" s="100"/>
      <c r="C56" s="101"/>
      <c r="D56" s="101"/>
      <c r="E56" s="101"/>
      <c r="F56" s="101"/>
      <c r="G56" s="101"/>
      <c r="H56" s="101"/>
      <c r="I56" s="101"/>
      <c r="J56" s="102"/>
      <c r="L56" s="103"/>
      <c r="M56" s="45"/>
      <c r="N56" s="45"/>
      <c r="O56" s="45"/>
      <c r="P56" s="45"/>
      <c r="Q56" s="45"/>
      <c r="R56" s="45"/>
      <c r="S56" s="45"/>
      <c r="T56" s="104"/>
    </row>
    <row r="57" spans="2:20">
      <c r="B57" s="100"/>
      <c r="C57" s="101"/>
      <c r="D57" s="101"/>
      <c r="E57" s="101"/>
      <c r="F57" s="101"/>
      <c r="G57" s="101"/>
      <c r="H57" s="101"/>
      <c r="I57" s="101"/>
      <c r="J57" s="102"/>
      <c r="L57" s="103"/>
      <c r="M57" s="45"/>
      <c r="N57" s="45"/>
      <c r="O57" s="45"/>
      <c r="P57" s="45"/>
      <c r="Q57" s="45"/>
      <c r="R57" s="45"/>
      <c r="S57" s="45"/>
      <c r="T57" s="104"/>
    </row>
    <row r="58" spans="2:20">
      <c r="B58" s="100"/>
      <c r="C58" s="101"/>
      <c r="D58" s="101"/>
      <c r="E58" s="101"/>
      <c r="F58" s="101"/>
      <c r="G58" s="101"/>
      <c r="H58" s="101"/>
      <c r="I58" s="101"/>
      <c r="J58" s="102"/>
      <c r="L58" s="103"/>
      <c r="M58" s="45"/>
      <c r="N58" s="45"/>
      <c r="O58" s="45"/>
      <c r="P58" s="45"/>
      <c r="Q58" s="45"/>
      <c r="R58" s="45"/>
      <c r="S58" s="45"/>
      <c r="T58" s="104"/>
    </row>
    <row r="59" spans="2:20">
      <c r="B59" s="100"/>
      <c r="C59" s="101"/>
      <c r="D59" s="101"/>
      <c r="E59" s="101"/>
      <c r="F59" s="101"/>
      <c r="G59" s="101"/>
      <c r="H59" s="101"/>
      <c r="I59" s="101"/>
      <c r="J59" s="102"/>
      <c r="L59" s="103"/>
      <c r="M59" s="45"/>
      <c r="N59" s="45"/>
      <c r="O59" s="45"/>
      <c r="P59" s="45"/>
      <c r="Q59" s="45"/>
      <c r="R59" s="45"/>
      <c r="S59" s="45"/>
      <c r="T59" s="104"/>
    </row>
    <row r="60" spans="2:20">
      <c r="B60" s="100"/>
      <c r="C60" s="101"/>
      <c r="D60" s="101"/>
      <c r="E60" s="101"/>
      <c r="F60" s="101"/>
      <c r="G60" s="101"/>
      <c r="H60" s="101"/>
      <c r="I60" s="101"/>
      <c r="J60" s="102"/>
      <c r="L60" s="103"/>
      <c r="M60" s="45"/>
      <c r="N60" s="45"/>
      <c r="O60" s="45"/>
      <c r="P60" s="45"/>
      <c r="Q60" s="45"/>
      <c r="R60" s="45"/>
      <c r="S60" s="45"/>
      <c r="T60" s="104"/>
    </row>
    <row r="61" spans="2:20">
      <c r="B61" s="105"/>
      <c r="C61" s="106"/>
      <c r="D61" s="106"/>
      <c r="E61" s="106"/>
      <c r="F61" s="106"/>
      <c r="G61" s="106"/>
      <c r="H61" s="106"/>
      <c r="I61" s="106"/>
      <c r="J61" s="107"/>
      <c r="L61" s="108"/>
      <c r="M61" s="109"/>
      <c r="N61" s="109"/>
      <c r="O61" s="109"/>
      <c r="P61" s="109"/>
      <c r="Q61" s="109"/>
      <c r="R61" s="109"/>
      <c r="S61" s="109"/>
      <c r="T61" s="110"/>
    </row>
    <row r="68" ht="26" spans="3:22">
      <c r="C68" s="112"/>
      <c r="D68" s="112"/>
      <c r="E68" s="112"/>
      <c r="F68" s="112"/>
      <c r="G68" s="112"/>
      <c r="H68" s="112"/>
      <c r="I68" s="112"/>
      <c r="J68" s="112"/>
      <c r="N68" s="113"/>
      <c r="O68" s="113"/>
      <c r="P68" s="113"/>
      <c r="Q68" s="113"/>
      <c r="R68" s="113"/>
      <c r="S68" s="113"/>
      <c r="T68" s="113"/>
      <c r="U68" s="113"/>
      <c r="V68" s="113"/>
    </row>
  </sheetData>
  <mergeCells count="13">
    <mergeCell ref="M43:O45"/>
    <mergeCell ref="C8:E10"/>
    <mergeCell ref="F8:H10"/>
    <mergeCell ref="I8:K10"/>
    <mergeCell ref="L8:N10"/>
    <mergeCell ref="O8:Q10"/>
    <mergeCell ref="E43:G45"/>
    <mergeCell ref="G6:L7"/>
    <mergeCell ref="H29:L30"/>
    <mergeCell ref="E2:O3"/>
    <mergeCell ref="B48:J61"/>
    <mergeCell ref="L48:T61"/>
    <mergeCell ref="Q12:R20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zoomScale="50" zoomScaleNormal="50" workbookViewId="0">
      <selection activeCell="AA27" sqref="AA27"/>
    </sheetView>
  </sheetViews>
  <sheetFormatPr defaultColWidth="8.72727272727273" defaultRowHeight="14.5"/>
  <cols>
    <col min="4" max="4" width="10.7272727272727" customWidth="1"/>
  </cols>
  <sheetData>
    <row r="1" ht="15.25" spans="1:28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8.5" spans="1:2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7"/>
      <c r="N2" s="7"/>
      <c r="O2" s="7"/>
      <c r="X2" s="8" t="s">
        <v>79</v>
      </c>
      <c r="Y2" s="9"/>
      <c r="Z2" s="9"/>
      <c r="AA2" s="9"/>
      <c r="AB2" s="10"/>
    </row>
    <row r="3" ht="29.25" spans="1:28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M3" s="7"/>
      <c r="N3" s="7"/>
      <c r="O3" s="7"/>
      <c r="X3" s="14"/>
      <c r="Y3" s="15"/>
      <c r="Z3" s="15"/>
      <c r="AA3" s="15"/>
      <c r="AB3" s="16"/>
    </row>
    <row r="4" spans="1:28"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5.25" spans="1:28"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18.5" spans="1:28">
      <c r="C6" s="17"/>
      <c r="D6" s="17"/>
      <c r="E6" s="17"/>
      <c r="F6" s="17"/>
      <c r="G6" s="8" t="s">
        <v>72</v>
      </c>
      <c r="H6" s="18"/>
      <c r="I6" s="18"/>
      <c r="J6" s="18"/>
      <c r="K6" s="18"/>
      <c r="L6" s="19"/>
      <c r="M6" s="5"/>
    </row>
    <row r="7" ht="19.25" spans="1:28">
      <c r="C7" s="17"/>
      <c r="D7" s="17"/>
      <c r="E7" s="17"/>
      <c r="F7" s="17"/>
      <c r="G7" s="20"/>
      <c r="H7" s="21"/>
      <c r="I7" s="21"/>
      <c r="J7" s="21"/>
      <c r="K7" s="21"/>
      <c r="L7" s="22"/>
    </row>
    <row r="8" spans="1:28">
      <c r="C8" s="23" t="s">
        <v>73</v>
      </c>
      <c r="D8" s="24"/>
      <c r="E8" s="25"/>
      <c r="F8" s="26" t="s">
        <v>74</v>
      </c>
      <c r="G8" s="27"/>
      <c r="H8" s="28"/>
      <c r="I8" s="29" t="s">
        <v>75</v>
      </c>
      <c r="J8" s="30"/>
      <c r="K8" s="31"/>
      <c r="L8" s="32" t="s">
        <v>76</v>
      </c>
      <c r="M8" s="33"/>
      <c r="N8" s="34"/>
      <c r="O8" s="35" t="s">
        <v>77</v>
      </c>
      <c r="P8" s="36"/>
      <c r="Q8" s="37"/>
    </row>
    <row r="9" spans="1:28">
      <c r="C9" s="38"/>
      <c r="D9" s="39"/>
      <c r="E9" s="40"/>
      <c r="F9" s="41"/>
      <c r="G9" s="42"/>
      <c r="H9" s="43"/>
      <c r="I9" s="44"/>
      <c r="J9" s="45"/>
      <c r="K9" s="46"/>
      <c r="L9" s="47"/>
      <c r="M9" s="48"/>
      <c r="N9" s="49"/>
      <c r="O9" s="50"/>
      <c r="P9" s="51"/>
      <c r="Q9" s="52"/>
    </row>
    <row r="10" ht="15.25" spans="1:28">
      <c r="C10" s="53"/>
      <c r="D10" s="54"/>
      <c r="E10" s="55"/>
      <c r="F10" s="56"/>
      <c r="G10" s="57"/>
      <c r="H10" s="58"/>
      <c r="I10" s="59"/>
      <c r="J10" s="60"/>
      <c r="K10" s="61"/>
      <c r="L10" s="62"/>
      <c r="M10" s="63"/>
      <c r="N10" s="64"/>
      <c r="O10" s="65"/>
      <c r="P10" s="66"/>
      <c r="Q10" s="67"/>
    </row>
    <row r="13" ht="15.25"/>
    <row r="14" spans="1:28">
      <c r="C14" s="68" t="s">
        <v>78</v>
      </c>
      <c r="D14" s="69"/>
    </row>
    <row r="15" spans="1:28">
      <c r="C15" s="70"/>
      <c r="D15" s="71"/>
    </row>
    <row r="16" spans="1:28">
      <c r="C16" s="70"/>
      <c r="D16" s="71"/>
      <c r="E16" s="72"/>
      <c r="F16" s="72"/>
      <c r="G16" s="72"/>
      <c r="H16" s="72"/>
    </row>
    <row r="17" spans="3:31">
      <c r="C17" s="70"/>
      <c r="D17" s="71"/>
      <c r="E17" s="73"/>
      <c r="F17" s="72"/>
      <c r="G17" s="72"/>
      <c r="H17" s="72"/>
    </row>
    <row r="18" ht="15.25" spans="3:31">
      <c r="C18" s="70"/>
      <c r="D18" s="71"/>
      <c r="E18" s="73"/>
      <c r="F18" s="72"/>
      <c r="G18" s="72"/>
      <c r="H18" s="72"/>
    </row>
    <row r="19" spans="3:31">
      <c r="C19" s="70"/>
      <c r="D19" s="71"/>
      <c r="U19" s="32" t="s">
        <v>80</v>
      </c>
      <c r="V19" s="74"/>
      <c r="W19" s="75"/>
      <c r="AC19" s="35" t="s">
        <v>81</v>
      </c>
      <c r="AD19" s="76"/>
      <c r="AE19" s="77"/>
    </row>
    <row r="20" spans="3:31">
      <c r="C20" s="70"/>
      <c r="D20" s="71"/>
      <c r="E20" s="72"/>
      <c r="F20" s="72"/>
      <c r="U20" s="78"/>
      <c r="V20" s="79"/>
      <c r="W20" s="80"/>
      <c r="AC20" s="81"/>
      <c r="AD20" s="82"/>
      <c r="AE20" s="83"/>
    </row>
    <row r="21" ht="15.25" spans="3:31">
      <c r="C21" s="70"/>
      <c r="D21" s="71"/>
      <c r="E21" s="84"/>
      <c r="F21" s="72"/>
      <c r="U21" s="85"/>
      <c r="V21" s="86"/>
      <c r="W21" s="87"/>
      <c r="AC21" s="88"/>
      <c r="AD21" s="89"/>
      <c r="AE21" s="90"/>
    </row>
    <row r="22" ht="15.25" spans="3:31">
      <c r="C22" s="91"/>
      <c r="D22" s="92"/>
      <c r="E22" s="84"/>
      <c r="F22" s="72"/>
    </row>
    <row r="29" ht="23.5" spans="3:31">
      <c r="C29" s="93"/>
      <c r="D29" s="93"/>
      <c r="E29" s="93"/>
      <c r="F29" s="93"/>
      <c r="G29" s="93"/>
    </row>
    <row r="30" ht="23.5" spans="3:31">
      <c r="C30" s="93"/>
      <c r="D30" s="93"/>
      <c r="E30" s="93"/>
      <c r="F30" s="93"/>
      <c r="G30" s="93"/>
      <c r="I30" s="94" t="s">
        <v>85</v>
      </c>
      <c r="J30" s="95"/>
      <c r="K30" s="95"/>
      <c r="L30" s="95"/>
      <c r="M30" s="95"/>
      <c r="N30" s="95"/>
      <c r="O30" s="95"/>
      <c r="P30" s="95"/>
      <c r="Q30" s="96"/>
      <c r="S30" s="97" t="s">
        <v>83</v>
      </c>
      <c r="T30" s="98"/>
      <c r="U30" s="98"/>
      <c r="V30" s="98"/>
      <c r="W30" s="98"/>
      <c r="X30" s="98"/>
      <c r="Y30" s="98"/>
      <c r="Z30" s="98"/>
      <c r="AA30" s="99"/>
    </row>
    <row r="31" spans="3:31">
      <c r="I31" s="100"/>
      <c r="J31" s="101"/>
      <c r="K31" s="101"/>
      <c r="L31" s="101"/>
      <c r="M31" s="101"/>
      <c r="N31" s="101"/>
      <c r="O31" s="101"/>
      <c r="P31" s="101"/>
      <c r="Q31" s="102"/>
      <c r="S31" s="103"/>
      <c r="T31" s="45"/>
      <c r="U31" s="45"/>
      <c r="V31" s="45"/>
      <c r="W31" s="45"/>
      <c r="X31" s="45"/>
      <c r="Y31" s="45"/>
      <c r="Z31" s="45"/>
      <c r="AA31" s="104"/>
    </row>
    <row r="32" spans="3:31">
      <c r="I32" s="100"/>
      <c r="J32" s="101"/>
      <c r="K32" s="101"/>
      <c r="L32" s="101"/>
      <c r="M32" s="101"/>
      <c r="N32" s="101"/>
      <c r="O32" s="101"/>
      <c r="P32" s="101"/>
      <c r="Q32" s="102"/>
      <c r="S32" s="103"/>
      <c r="T32" s="45"/>
      <c r="U32" s="45"/>
      <c r="V32" s="45"/>
      <c r="W32" s="45"/>
      <c r="X32" s="45"/>
      <c r="Y32" s="45"/>
      <c r="Z32" s="45"/>
      <c r="AA32" s="104"/>
    </row>
    <row r="33" spans="2:27">
      <c r="I33" s="100"/>
      <c r="J33" s="101"/>
      <c r="K33" s="101"/>
      <c r="L33" s="101"/>
      <c r="M33" s="101"/>
      <c r="N33" s="101"/>
      <c r="O33" s="101"/>
      <c r="P33" s="101"/>
      <c r="Q33" s="102"/>
      <c r="S33" s="103"/>
      <c r="T33" s="45"/>
      <c r="U33" s="45"/>
      <c r="V33" s="45"/>
      <c r="W33" s="45"/>
      <c r="X33" s="45"/>
      <c r="Y33" s="45"/>
      <c r="Z33" s="45"/>
      <c r="AA33" s="104"/>
    </row>
    <row r="34" spans="2:27">
      <c r="I34" s="100"/>
      <c r="J34" s="101"/>
      <c r="K34" s="101"/>
      <c r="L34" s="101"/>
      <c r="M34" s="101"/>
      <c r="N34" s="101"/>
      <c r="O34" s="101"/>
      <c r="P34" s="101"/>
      <c r="Q34" s="102"/>
      <c r="S34" s="103"/>
      <c r="T34" s="45"/>
      <c r="U34" s="45"/>
      <c r="V34" s="45"/>
      <c r="W34" s="45"/>
      <c r="X34" s="45"/>
      <c r="Y34" s="45"/>
      <c r="Z34" s="45"/>
      <c r="AA34" s="104"/>
    </row>
    <row r="35" spans="2:27">
      <c r="I35" s="100"/>
      <c r="J35" s="101"/>
      <c r="K35" s="101"/>
      <c r="L35" s="101"/>
      <c r="M35" s="101"/>
      <c r="N35" s="101"/>
      <c r="O35" s="101"/>
      <c r="P35" s="101"/>
      <c r="Q35" s="102"/>
      <c r="S35" s="103"/>
      <c r="T35" s="45"/>
      <c r="U35" s="45"/>
      <c r="V35" s="45"/>
      <c r="W35" s="45"/>
      <c r="X35" s="45"/>
      <c r="Y35" s="45"/>
      <c r="Z35" s="45"/>
      <c r="AA35" s="104"/>
    </row>
    <row r="36" spans="2:27">
      <c r="I36" s="100"/>
      <c r="J36" s="101"/>
      <c r="K36" s="101"/>
      <c r="L36" s="101"/>
      <c r="M36" s="101"/>
      <c r="N36" s="101"/>
      <c r="O36" s="101"/>
      <c r="P36" s="101"/>
      <c r="Q36" s="102"/>
      <c r="S36" s="103"/>
      <c r="T36" s="45"/>
      <c r="U36" s="45"/>
      <c r="V36" s="45"/>
      <c r="W36" s="45"/>
      <c r="X36" s="45"/>
      <c r="Y36" s="45"/>
      <c r="Z36" s="45"/>
      <c r="AA36" s="104"/>
    </row>
    <row r="37" spans="2:27">
      <c r="I37" s="100"/>
      <c r="J37" s="101"/>
      <c r="K37" s="101"/>
      <c r="L37" s="101"/>
      <c r="M37" s="101"/>
      <c r="N37" s="101"/>
      <c r="O37" s="101"/>
      <c r="P37" s="101"/>
      <c r="Q37" s="102"/>
      <c r="S37" s="103"/>
      <c r="T37" s="45"/>
      <c r="U37" s="45"/>
      <c r="V37" s="45"/>
      <c r="W37" s="45"/>
      <c r="X37" s="45"/>
      <c r="Y37" s="45"/>
      <c r="Z37" s="45"/>
      <c r="AA37" s="104"/>
    </row>
    <row r="38" spans="2:27">
      <c r="I38" s="100"/>
      <c r="J38" s="101"/>
      <c r="K38" s="101"/>
      <c r="L38" s="101"/>
      <c r="M38" s="101"/>
      <c r="N38" s="101"/>
      <c r="O38" s="101"/>
      <c r="P38" s="101"/>
      <c r="Q38" s="102"/>
      <c r="S38" s="103"/>
      <c r="T38" s="45"/>
      <c r="U38" s="45"/>
      <c r="V38" s="45"/>
      <c r="W38" s="45"/>
      <c r="X38" s="45"/>
      <c r="Y38" s="45"/>
      <c r="Z38" s="45"/>
      <c r="AA38" s="104"/>
    </row>
    <row r="39" spans="2:27">
      <c r="I39" s="100"/>
      <c r="J39" s="101"/>
      <c r="K39" s="101"/>
      <c r="L39" s="101"/>
      <c r="M39" s="101"/>
      <c r="N39" s="101"/>
      <c r="O39" s="101"/>
      <c r="P39" s="101"/>
      <c r="Q39" s="102"/>
      <c r="S39" s="103"/>
      <c r="T39" s="45"/>
      <c r="U39" s="45"/>
      <c r="V39" s="45"/>
      <c r="W39" s="45"/>
      <c r="X39" s="45"/>
      <c r="Y39" s="45"/>
      <c r="Z39" s="45"/>
      <c r="AA39" s="104"/>
    </row>
    <row r="40" spans="2:27">
      <c r="I40" s="100"/>
      <c r="J40" s="101"/>
      <c r="K40" s="101"/>
      <c r="L40" s="101"/>
      <c r="M40" s="101"/>
      <c r="N40" s="101"/>
      <c r="O40" s="101"/>
      <c r="P40" s="101"/>
      <c r="Q40" s="102"/>
      <c r="S40" s="103"/>
      <c r="T40" s="45"/>
      <c r="U40" s="45"/>
      <c r="V40" s="45"/>
      <c r="W40" s="45"/>
      <c r="X40" s="45"/>
      <c r="Y40" s="45"/>
      <c r="Z40" s="45"/>
      <c r="AA40" s="104"/>
    </row>
    <row r="41" spans="2:27">
      <c r="I41" s="100"/>
      <c r="J41" s="101"/>
      <c r="K41" s="101"/>
      <c r="L41" s="101"/>
      <c r="M41" s="101"/>
      <c r="N41" s="101"/>
      <c r="O41" s="101"/>
      <c r="P41" s="101"/>
      <c r="Q41" s="102"/>
      <c r="S41" s="103"/>
      <c r="T41" s="45"/>
      <c r="U41" s="45"/>
      <c r="V41" s="45"/>
      <c r="W41" s="45"/>
      <c r="X41" s="45"/>
      <c r="Y41" s="45"/>
      <c r="Z41" s="45"/>
      <c r="AA41" s="104"/>
    </row>
    <row r="42" spans="2:27">
      <c r="I42" s="100"/>
      <c r="J42" s="101"/>
      <c r="K42" s="101"/>
      <c r="L42" s="101"/>
      <c r="M42" s="101"/>
      <c r="N42" s="101"/>
      <c r="O42" s="101"/>
      <c r="P42" s="101"/>
      <c r="Q42" s="102"/>
      <c r="S42" s="103"/>
      <c r="T42" s="45"/>
      <c r="U42" s="45"/>
      <c r="V42" s="45"/>
      <c r="W42" s="45"/>
      <c r="X42" s="45"/>
      <c r="Y42" s="45"/>
      <c r="Z42" s="45"/>
      <c r="AA42" s="104"/>
    </row>
    <row r="43" spans="2:27">
      <c r="I43" s="105"/>
      <c r="J43" s="106"/>
      <c r="K43" s="106"/>
      <c r="L43" s="106"/>
      <c r="M43" s="106"/>
      <c r="N43" s="106"/>
      <c r="O43" s="106"/>
      <c r="P43" s="106"/>
      <c r="Q43" s="107"/>
      <c r="S43" s="108"/>
      <c r="T43" s="109"/>
      <c r="U43" s="109"/>
      <c r="V43" s="109"/>
      <c r="W43" s="109"/>
      <c r="X43" s="109"/>
      <c r="Y43" s="109"/>
      <c r="Z43" s="109"/>
      <c r="AA43" s="110"/>
    </row>
    <row r="47" spans="2:27">
      <c r="B47" s="111"/>
      <c r="C47" s="111"/>
      <c r="D47" s="111"/>
      <c r="E47" s="111"/>
      <c r="F47" s="111"/>
      <c r="G47" s="111"/>
      <c r="H47" s="111"/>
      <c r="I47" s="111"/>
      <c r="J47" s="111"/>
      <c r="K47" s="111"/>
    </row>
    <row r="48" spans="2:27">
      <c r="K48" s="111"/>
    </row>
    <row r="49" spans="11:11">
      <c r="K49" s="111"/>
    </row>
    <row r="68" ht="26" spans="3:14">
      <c r="C68" s="112"/>
      <c r="D68" s="112"/>
      <c r="E68" s="112"/>
      <c r="F68" s="112"/>
      <c r="G68" s="112"/>
      <c r="H68" s="112"/>
      <c r="I68" s="112"/>
      <c r="J68" s="112"/>
      <c r="N68" s="113"/>
    </row>
  </sheetData>
  <mergeCells count="13">
    <mergeCell ref="G6:L7"/>
    <mergeCell ref="C8:E10"/>
    <mergeCell ref="F8:H10"/>
    <mergeCell ref="I8:K10"/>
    <mergeCell ref="L8:N10"/>
    <mergeCell ref="O8:Q10"/>
    <mergeCell ref="C14:D22"/>
    <mergeCell ref="X2:AB3"/>
    <mergeCell ref="U19:W21"/>
    <mergeCell ref="AC19:AE21"/>
    <mergeCell ref="I30:Q43"/>
    <mergeCell ref="S30:AA43"/>
    <mergeCell ref="A1:L3"/>
  </mergeCell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Sheet8</vt:lpstr>
      <vt:lpstr>Sheet6</vt:lpstr>
      <vt:lpstr>Sheet7</vt:lpstr>
      <vt:lpstr>Sheet7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Maitreyi Pandey</cp:lastModifiedBy>
  <dcterms:created xsi:type="dcterms:W3CDTF">2026-04-17T17:12:00Z</dcterms:created>
  <dcterms:modified xsi:type="dcterms:W3CDTF">2026-08-23T18:13:56Z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BC4ACF38BFA74B8FA349AF39E0B0B4D2_13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